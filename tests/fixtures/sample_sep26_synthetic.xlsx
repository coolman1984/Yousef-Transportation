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Car" sheetId="1" r:id="rId1"/>
    <sheet name="SUV Rent" sheetId="2" r:id="rId2"/>
    <sheet name="Microbus Rent" sheetId="3" r:id="rId3"/>
  </sheets>
  <calcPr calcId="191029" fullCalcOnLoad="1"/>
</workbook>
</file>

<file path=xl/sharedStrings.xml><?xml version="1.0" encoding="utf-8"?>
<sst xmlns="http://schemas.openxmlformats.org/spreadsheetml/2006/main" count="282" uniqueCount="282">
  <si>
    <t xml:space="preserve">Date</t>
  </si>
  <si>
    <t xml:space="preserve">Driver Name</t>
  </si>
  <si>
    <t xml:space="preserve">Car Plate</t>
  </si>
  <si>
    <t xml:space="preserve">Requester</t>
  </si>
  <si>
    <t xml:space="preserve">Employee Name</t>
  </si>
  <si>
    <t xml:space="preserve">Trip Category</t>
  </si>
  <si>
    <t xml:space="preserve">Depatment</t>
  </si>
  <si>
    <t xml:space="preserve">Destination</t>
  </si>
  <si>
    <t xml:space="preserve">Column1</t>
  </si>
  <si>
    <t xml:space="preserve">Strat KM</t>
  </si>
  <si>
    <t xml:space="preserve">End KM</t>
  </si>
  <si>
    <t xml:space="preserve"> KM</t>
  </si>
  <si>
    <t xml:space="preserve">Misr car KM</t>
  </si>
  <si>
    <t xml:space="preserve">Start</t>
  </si>
  <si>
    <t xml:space="preserve">End</t>
  </si>
  <si>
    <t xml:space="preserve">OT Hours</t>
  </si>
  <si>
    <t xml:space="preserve">Hany Hassan</t>
  </si>
  <si>
    <t xml:space="preserve">ي أ ف 5283</t>
  </si>
  <si>
    <t xml:space="preserve">Yehia Salem</t>
  </si>
  <si>
    <t xml:space="preserve">Manager car</t>
  </si>
  <si>
    <t xml:space="preserve">QA</t>
  </si>
  <si>
    <t xml:space="preserve">SEEG-BNS-Wasta-SEEG</t>
  </si>
  <si>
    <t xml:space="preserve">Nabil Tawfik</t>
  </si>
  <si>
    <t xml:space="preserve">ب س ي 1313</t>
  </si>
  <si>
    <t xml:space="preserve">Ibrahim Kamel</t>
  </si>
  <si>
    <t xml:space="preserve">IT</t>
  </si>
  <si>
    <t xml:space="preserve">SEEG-Giza-SEEG</t>
  </si>
  <si>
    <t xml:space="preserve">ق ل أ 2648</t>
  </si>
  <si>
    <t xml:space="preserve">Omar Fahmy</t>
  </si>
  <si>
    <t xml:space="preserve">Adel Kamel - Saeed Hassan</t>
  </si>
  <si>
    <t xml:space="preserve">Extra</t>
  </si>
  <si>
    <t xml:space="preserve">LCM</t>
  </si>
  <si>
    <t xml:space="preserve">SEEG-BNS-Masr Elgdida-SEEG</t>
  </si>
  <si>
    <t xml:space="preserve">Sameh Salem</t>
  </si>
  <si>
    <t xml:space="preserve">ك م ي 9539</t>
  </si>
  <si>
    <t xml:space="preserve">Saeed Lotfy</t>
  </si>
  <si>
    <t xml:space="preserve">GA</t>
  </si>
  <si>
    <t xml:space="preserve">SEEG-BNS-SEEG</t>
  </si>
  <si>
    <t xml:space="preserve">Fathy Tawfik</t>
  </si>
  <si>
    <t xml:space="preserve">ص ن ف 2551</t>
  </si>
  <si>
    <t xml:space="preserve">Magdy Ashour</t>
  </si>
  <si>
    <t xml:space="preserve">HR</t>
  </si>
  <si>
    <t xml:space="preserve">SEEG-Fayoum-Zaid-SEEG</t>
  </si>
  <si>
    <t xml:space="preserve">Saeed Hassan</t>
  </si>
  <si>
    <t xml:space="preserve">ع ر د 5929</t>
  </si>
  <si>
    <t xml:space="preserve">Saeed Kamel</t>
  </si>
  <si>
    <t xml:space="preserve">Admin</t>
  </si>
  <si>
    <t xml:space="preserve">SEEG-Museum-SEEG</t>
  </si>
  <si>
    <t xml:space="preserve">Tarek Zaki</t>
  </si>
  <si>
    <t xml:space="preserve">و ج ر 1723</t>
  </si>
  <si>
    <t xml:space="preserve">Yehia Shaker</t>
  </si>
  <si>
    <t xml:space="preserve">SCM</t>
  </si>
  <si>
    <t xml:space="preserve">SEEG-Musiem-SEEG</t>
  </si>
  <si>
    <t xml:space="preserve">Omar Kamel</t>
  </si>
  <si>
    <t xml:space="preserve">ل ه ص 7840</t>
  </si>
  <si>
    <t xml:space="preserve">PE</t>
  </si>
  <si>
    <t xml:space="preserve">Khaled Lotfy</t>
  </si>
  <si>
    <t xml:space="preserve">ف ط و 5127</t>
  </si>
  <si>
    <t xml:space="preserve">Essam Shaker</t>
  </si>
  <si>
    <t xml:space="preserve">Omar Fahmy - Wael Shaker</t>
  </si>
  <si>
    <t xml:space="preserve">CS</t>
  </si>
  <si>
    <t xml:space="preserve">SEEG-Mueiem-SEEG</t>
  </si>
  <si>
    <t xml:space="preserve">Omar Badawy</t>
  </si>
  <si>
    <t xml:space="preserve">ل ي ق 2335</t>
  </si>
  <si>
    <t xml:space="preserve">Finance</t>
  </si>
  <si>
    <t xml:space="preserve">  Ragab Mansour </t>
  </si>
  <si>
    <t xml:space="preserve">Fathy Kamel</t>
  </si>
  <si>
    <t xml:space="preserve">MRO</t>
  </si>
  <si>
    <t xml:space="preserve">SEEG-Masr Elgdida-SEEG</t>
  </si>
  <si>
    <t xml:space="preserve">ر أ د 8807</t>
  </si>
  <si>
    <t xml:space="preserve">Sameh Fahmy</t>
  </si>
  <si>
    <t xml:space="preserve">Hazem Nasr</t>
  </si>
  <si>
    <t xml:space="preserve">Wael Lotfy</t>
  </si>
  <si>
    <t xml:space="preserve"> ه ل ب 1722</t>
  </si>
  <si>
    <t xml:space="preserve">Saeed Nasr</t>
  </si>
  <si>
    <t xml:space="preserve">Visitor</t>
  </si>
  <si>
    <t xml:space="preserve">SEEG-Badr city-SEEG</t>
  </si>
  <si>
    <t xml:space="preserve">ن ه ف 4654</t>
  </si>
  <si>
    <t xml:space="preserve">Wael Shaker</t>
  </si>
  <si>
    <t xml:space="preserve">Ibrahim Kamel - Wael Lotfy</t>
  </si>
  <si>
    <t xml:space="preserve">PD</t>
  </si>
  <si>
    <t xml:space="preserve">SEEG-Maadi-SEEG</t>
  </si>
  <si>
    <t xml:space="preserve">س ج ع 2253</t>
  </si>
  <si>
    <t xml:space="preserve">Nader Helmy</t>
  </si>
  <si>
    <t xml:space="preserve">SEEG-Wasta-SEEG</t>
  </si>
  <si>
    <t xml:space="preserve">Wael Hassan</t>
  </si>
  <si>
    <t xml:space="preserve">ب ي ف 4048</t>
  </si>
  <si>
    <t xml:space="preserve">Hazem Ashour</t>
  </si>
  <si>
    <t xml:space="preserve">Warehouse</t>
  </si>
  <si>
    <t xml:space="preserve">Essam Salem</t>
  </si>
  <si>
    <t xml:space="preserve">Adel Shaker</t>
  </si>
  <si>
    <t xml:space="preserve">Gamal Zaki - Magdy Lotfy</t>
  </si>
  <si>
    <t xml:space="preserve">Injection</t>
  </si>
  <si>
    <t xml:space="preserve">SEEG-Giza-Airport-SEEG</t>
  </si>
  <si>
    <t xml:space="preserve">ه ط أ 9600</t>
  </si>
  <si>
    <t xml:space="preserve">MI</t>
  </si>
  <si>
    <t xml:space="preserve">SEEG-Giza-Maadi-Museum-SEEG</t>
  </si>
  <si>
    <t xml:space="preserve">م أ ع 9037</t>
  </si>
  <si>
    <t xml:space="preserve">Omar Salem</t>
  </si>
  <si>
    <t xml:space="preserve">MX</t>
  </si>
  <si>
    <t xml:space="preserve">Reda Helmy</t>
  </si>
  <si>
    <t xml:space="preserve">أ و د 1017</t>
  </si>
  <si>
    <t xml:space="preserve">Sameh Ashour</t>
  </si>
  <si>
    <t xml:space="preserve">Early leave</t>
  </si>
  <si>
    <t xml:space="preserve">SEEG-OCT-Nasr city-SEEG</t>
  </si>
  <si>
    <t xml:space="preserve">Karim Ashour</t>
  </si>
  <si>
    <t xml:space="preserve">Legal</t>
  </si>
  <si>
    <t xml:space="preserve">SEEG-Airport-SEEG</t>
  </si>
  <si>
    <t xml:space="preserve">Hazem Fahmy</t>
  </si>
  <si>
    <t xml:space="preserve">م ب ف 8013</t>
  </si>
  <si>
    <t xml:space="preserve">Magdy Lotfy</t>
  </si>
  <si>
    <t xml:space="preserve">SEEG-OCT-Haram-SEEG</t>
  </si>
  <si>
    <t xml:space="preserve">Wael Zaki</t>
  </si>
  <si>
    <t xml:space="preserve">ه ب ن 2760</t>
  </si>
  <si>
    <t xml:space="preserve">Tarek Kamel</t>
  </si>
  <si>
    <t xml:space="preserve">SEEG-Wasta-Airport-SEEG</t>
  </si>
  <si>
    <t xml:space="preserve">أ ر ل 4970</t>
  </si>
  <si>
    <t xml:space="preserve">Wael Nasr</t>
  </si>
  <si>
    <t xml:space="preserve">ه ب ع 7627</t>
  </si>
  <si>
    <t xml:space="preserve">SEEG-BNS-Airport-SEEG</t>
  </si>
  <si>
    <t xml:space="preserve">د ج ب 1336</t>
  </si>
  <si>
    <t xml:space="preserve">Khaled Kamel</t>
  </si>
  <si>
    <t xml:space="preserve">Khaled Farouk</t>
  </si>
  <si>
    <t xml:space="preserve">ط ج ر 5529</t>
  </si>
  <si>
    <t xml:space="preserve">Ibrahim Badawy</t>
  </si>
  <si>
    <t xml:space="preserve">Ragab Ashour</t>
  </si>
  <si>
    <t xml:space="preserve">Khaled Zaki</t>
  </si>
  <si>
    <t xml:space="preserve">SEEG-Giza-Zaid-SEEG</t>
  </si>
  <si>
    <t xml:space="preserve">SEEG-Wasta-Haram-SEEG</t>
  </si>
  <si>
    <t xml:space="preserve">و م أ 6245</t>
  </si>
  <si>
    <t xml:space="preserve">SEEG-Maadi-Nasr city-Fayoum-SEEG</t>
  </si>
  <si>
    <t xml:space="preserve">Gamal Ashour</t>
  </si>
  <si>
    <t xml:space="preserve">Ragab Mansour</t>
  </si>
  <si>
    <t xml:space="preserve">SEEG-Fayoum-Airport-SEEG</t>
  </si>
  <si>
    <t xml:space="preserve">SEEG-Wasta-Airport-Maadi-SEEG</t>
  </si>
  <si>
    <t xml:space="preserve">Khaled Hassan</t>
  </si>
  <si>
    <t xml:space="preserve">Essam Hassan</t>
  </si>
  <si>
    <t xml:space="preserve">  Wael Shaker </t>
  </si>
  <si>
    <t xml:space="preserve">ن ي ه 4383</t>
  </si>
  <si>
    <t xml:space="preserve">Yehia Lotfy</t>
  </si>
  <si>
    <t xml:space="preserve">ق ج ص 5606</t>
  </si>
  <si>
    <t xml:space="preserve">SEEG-museum-SEEG</t>
  </si>
  <si>
    <t xml:space="preserve">Gamal Farouk</t>
  </si>
  <si>
    <t xml:space="preserve">SMT</t>
  </si>
  <si>
    <t xml:space="preserve">ER</t>
  </si>
  <si>
    <t xml:space="preserve">SEEG-Museum-Wasta-OCT-SEEG</t>
  </si>
  <si>
    <t xml:space="preserve">Reda Fahmy</t>
  </si>
  <si>
    <t xml:space="preserve">Saeed Helmy</t>
  </si>
  <si>
    <t xml:space="preserve">SEEG-Wasta-Elbassel-Nasr city-SEEG</t>
  </si>
  <si>
    <t xml:space="preserve">Yehia Helmy</t>
  </si>
  <si>
    <t xml:space="preserve">  Ibrahim Ashour </t>
  </si>
  <si>
    <t xml:space="preserve">ق س ط 1971</t>
  </si>
  <si>
    <t xml:space="preserve">EHS</t>
  </si>
  <si>
    <t xml:space="preserve">Ibrahim Ashour</t>
  </si>
  <si>
    <t xml:space="preserve">ي ط ك 3232</t>
  </si>
  <si>
    <t xml:space="preserve">ب ج ر 7208</t>
  </si>
  <si>
    <t xml:space="preserve">Gamal Lotfy</t>
  </si>
  <si>
    <t xml:space="preserve">Hazem Zaki</t>
  </si>
  <si>
    <t xml:space="preserve">SEEG-Badr city-Wasta-Masr Elgdida-SEEG</t>
  </si>
  <si>
    <t xml:space="preserve">Yehia Zaki</t>
  </si>
  <si>
    <t xml:space="preserve">ج ك ن 4632</t>
  </si>
  <si>
    <t xml:space="preserve">Hany Mansour</t>
  </si>
  <si>
    <t xml:space="preserve">Adel Kamel</t>
  </si>
  <si>
    <t xml:space="preserve">SEEG-BNS-Haram-SEEG</t>
  </si>
  <si>
    <t xml:space="preserve">Omar Lotfy</t>
  </si>
  <si>
    <t xml:space="preserve">م ص ن 9070</t>
  </si>
  <si>
    <t xml:space="preserve">Karim Nasr</t>
  </si>
  <si>
    <t xml:space="preserve">ف ط ر 9194</t>
  </si>
  <si>
    <t xml:space="preserve">Khaled Kamel - Ragab Mansour</t>
  </si>
  <si>
    <t xml:space="preserve">ص د ر 3200</t>
  </si>
  <si>
    <t xml:space="preserve">Khaled Nasr</t>
  </si>
  <si>
    <t xml:space="preserve">ق م ه 4577</t>
  </si>
  <si>
    <t xml:space="preserve">Tarek Helmy</t>
  </si>
  <si>
    <t xml:space="preserve">Ibrahim Helmy</t>
  </si>
  <si>
    <t xml:space="preserve">Yehia Badawy</t>
  </si>
  <si>
    <t xml:space="preserve">Sameh Helmy</t>
  </si>
  <si>
    <t xml:space="preserve">SEEG-Fayoum-Elbassel-SEEG</t>
  </si>
  <si>
    <t xml:space="preserve">SEEG-Museum-Masr Elgdida-SEEG</t>
  </si>
  <si>
    <t xml:space="preserve">Hany Tawfik</t>
  </si>
  <si>
    <t xml:space="preserve">SEEG-Haram-Giza-SEEG</t>
  </si>
  <si>
    <t xml:space="preserve">Sameh Ashour - Ragab Ashour</t>
  </si>
  <si>
    <t xml:space="preserve">SEEG-Museum-Haram-Maadi-SEEG</t>
  </si>
  <si>
    <t xml:space="preserve">SEEG-Nasr city-Badr city-SEEG</t>
  </si>
  <si>
    <t xml:space="preserve">Nader Mansour</t>
  </si>
  <si>
    <t xml:space="preserve">د ص ن 4897</t>
  </si>
  <si>
    <t xml:space="preserve">SEEG-OCT-Maadi-SEEG</t>
  </si>
  <si>
    <t xml:space="preserve">SEEG-Crown-BNS-SEEG</t>
  </si>
  <si>
    <t xml:space="preserve">Nabil Zaki</t>
  </si>
  <si>
    <t xml:space="preserve">Gamal Ashour - Sameh Helmy</t>
  </si>
  <si>
    <t xml:space="preserve">س ج ف 3767</t>
  </si>
  <si>
    <t xml:space="preserve">Gamal Ashour - Gamal Zaki</t>
  </si>
  <si>
    <t xml:space="preserve">Karim Nasr - Essam Shaker</t>
  </si>
  <si>
    <t xml:space="preserve">SEEG-Zaid-SEEG</t>
  </si>
  <si>
    <t xml:space="preserve">د ي أ 4490</t>
  </si>
  <si>
    <t xml:space="preserve">SEEG-Crown-Elbassel-SEEG</t>
  </si>
  <si>
    <t xml:space="preserve">Reda Farouk</t>
  </si>
  <si>
    <t xml:space="preserve">SEEG-Zaid-Maadi-Crown-SEEG</t>
  </si>
  <si>
    <t xml:space="preserve">Magdy Helmy</t>
  </si>
  <si>
    <t xml:space="preserve">Wael Nasr - Omar Fahmy</t>
  </si>
  <si>
    <t xml:space="preserve">Magdy Mansour</t>
  </si>
  <si>
    <t xml:space="preserve">SEEG-Museum-Airport-Crown-SEEG</t>
  </si>
  <si>
    <t xml:space="preserve">Ibrahim Salem</t>
  </si>
  <si>
    <t xml:space="preserve">SEEG-Giza-BNS-Badr city-SEEG</t>
  </si>
  <si>
    <t xml:space="preserve">SEEG-Elbassel-OCT-SEEG</t>
  </si>
  <si>
    <t xml:space="preserve">Nader Kamel</t>
  </si>
  <si>
    <t xml:space="preserve">ع ي د 9061</t>
  </si>
  <si>
    <t xml:space="preserve">SEEG-Nasr city-Haram-SEEG</t>
  </si>
  <si>
    <t xml:space="preserve">  Wael Hassan </t>
  </si>
  <si>
    <t xml:space="preserve">Essam Shaker - Ibrahim Badawy</t>
  </si>
  <si>
    <t xml:space="preserve">ب ي ل 8939</t>
  </si>
  <si>
    <t xml:space="preserve">ه ل ب 1722</t>
  </si>
  <si>
    <t xml:space="preserve">Adel Lotfy</t>
  </si>
  <si>
    <t xml:space="preserve">ب س و 9579</t>
  </si>
  <si>
    <t xml:space="preserve">Karim Tawfik</t>
  </si>
  <si>
    <t xml:space="preserve">  Hany Mansour </t>
  </si>
  <si>
    <t xml:space="preserve">SEEG-BNS-Masr Elgdida-Wasta-SEEG</t>
  </si>
  <si>
    <t xml:space="preserve">Sameh Kamel</t>
  </si>
  <si>
    <t xml:space="preserve">Essam Hassan - Hazem Nasr</t>
  </si>
  <si>
    <t xml:space="preserve">SEEG-Nasr city-SEEG</t>
  </si>
  <si>
    <t xml:space="preserve">SEEG-Fayoum-SEEG</t>
  </si>
  <si>
    <t xml:space="preserve">Khaled Mansour</t>
  </si>
  <si>
    <t xml:space="preserve">Ibrahim Helmy - Khaled Farouk</t>
  </si>
  <si>
    <t xml:space="preserve">Adel Kamel - Magdy Ashour</t>
  </si>
  <si>
    <t xml:space="preserve">Adel Kamel - Gamal Zaki</t>
  </si>
  <si>
    <t xml:space="preserve">Gamal Fahmy</t>
  </si>
  <si>
    <t xml:space="preserve">SEEG-Maadi-Museum-Badr city-SEEG</t>
  </si>
  <si>
    <t xml:space="preserve">SEEG-Airport-Elbassel-SEEG</t>
  </si>
  <si>
    <t xml:space="preserve">Saeed Kamel - Tarek Mansour</t>
  </si>
  <si>
    <t xml:space="preserve">SEEG-Wasta-Fayoum-SEEG</t>
  </si>
  <si>
    <t xml:space="preserve">Ragab Tawfik</t>
  </si>
  <si>
    <t xml:space="preserve">ج ك د 8925</t>
  </si>
  <si>
    <t xml:space="preserve">ق ع و 5784</t>
  </si>
  <si>
    <t xml:space="preserve">SEEG-Haram-SEEG</t>
  </si>
  <si>
    <t xml:space="preserve">SEEG-Museum-Crown-Wasta-SEEG</t>
  </si>
  <si>
    <t xml:space="preserve">SEEG-Masr Elgdida-Crown-SEEG</t>
  </si>
  <si>
    <t xml:space="preserve">  Wael Zaki </t>
  </si>
  <si>
    <t xml:space="preserve">Gamal Zaki</t>
  </si>
  <si>
    <t xml:space="preserve">SEEG-Crown-SEEG</t>
  </si>
  <si>
    <t xml:space="preserve">Magdy Hassan</t>
  </si>
  <si>
    <t xml:space="preserve">ي د م 4373</t>
  </si>
  <si>
    <t xml:space="preserve">Tarek Kamel - Gamal Fahmy</t>
  </si>
  <si>
    <t xml:space="preserve">SEEG-Haram-Fayoum-SEEG</t>
  </si>
  <si>
    <t xml:space="preserve">SEEG-BNS-Giza-Crown-SEEG</t>
  </si>
  <si>
    <t xml:space="preserve">  Essam Salem </t>
  </si>
  <si>
    <t xml:space="preserve">  Yehia Helmy </t>
  </si>
  <si>
    <t xml:space="preserve">Ibrahim Zaki</t>
  </si>
  <si>
    <t xml:space="preserve">SEEG-Masr Elgdida-Haram-SEEG</t>
  </si>
  <si>
    <t xml:space="preserve">SEEG-Masr Elgdida-BNS-SEEG</t>
  </si>
  <si>
    <t xml:space="preserve">SEEG-Maadi-Zaid-OCT-SEEG</t>
  </si>
  <si>
    <t xml:space="preserve">SEEG-Elbassel-Wasta-SEEG</t>
  </si>
  <si>
    <t xml:space="preserve">  Reda Helmy </t>
  </si>
  <si>
    <t xml:space="preserve">Hany Badawy</t>
  </si>
  <si>
    <t xml:space="preserve">Sameh Kamel - Essam Hassan</t>
  </si>
  <si>
    <t xml:space="preserve">SEEG-Nasr city-Maadi-Masr Elgdida-SEEG</t>
  </si>
  <si>
    <t xml:space="preserve">Gamal Tawfik</t>
  </si>
  <si>
    <t xml:space="preserve">SEEG-BNS-OCT-Haram-SEEG</t>
  </si>
  <si>
    <t xml:space="preserve">Tarek Mansour</t>
  </si>
  <si>
    <t xml:space="preserve">SEEG-Maadi-Masr Elgdida-Airport-SEEG</t>
  </si>
  <si>
    <t xml:space="preserve">  Hazem Fahmy </t>
  </si>
  <si>
    <t xml:space="preserve">  Gamal Ashour </t>
  </si>
  <si>
    <t xml:space="preserve">Karim Nasr - Yehia Shaker</t>
  </si>
  <si>
    <t xml:space="preserve">SEEG-Museum-Wasta-Giza-SEEG</t>
  </si>
  <si>
    <t xml:space="preserve">Saeed Kamel - Gamal Zaki</t>
  </si>
  <si>
    <t xml:space="preserve">  Omar Badawy </t>
  </si>
  <si>
    <t xml:space="preserve">  Yehia Lotfy </t>
  </si>
  <si>
    <t xml:space="preserve">  Ibrahim Kamel </t>
  </si>
  <si>
    <t xml:space="preserve">Sameh Ashour - Fathy Kamel</t>
  </si>
  <si>
    <t xml:space="preserve">SEEG-Crown-OCT-Airport-SEEG</t>
  </si>
  <si>
    <t xml:space="preserve">أ ص ع 5620</t>
  </si>
  <si>
    <t xml:space="preserve">Jackie</t>
  </si>
  <si>
    <t xml:space="preserve">Min Kim</t>
  </si>
  <si>
    <t xml:space="preserve">SUV Rent</t>
  </si>
  <si>
    <t xml:space="preserve">Giza-Crown-SEEG-Giza</t>
  </si>
  <si>
    <t xml:space="preserve">EHS Audit</t>
  </si>
  <si>
    <t xml:space="preserve">Ramsis-SEEG-Maadi-Ramsis</t>
  </si>
  <si>
    <t xml:space="preserve">Production</t>
  </si>
  <si>
    <t xml:space="preserve">Sherif</t>
  </si>
  <si>
    <t xml:space="preserve">TTL</t>
  </si>
  <si>
    <t xml:space="preserve">#</t>
  </si>
  <si>
    <t xml:space="preserve">أ ب ص 5909</t>
  </si>
  <si>
    <t xml:space="preserve">Microbus Rent</t>
  </si>
  <si>
    <t xml:space="preserve">Giza-Crown-Airport-Giza</t>
  </si>
</sst>
</file>

<file path=xl/styles.xml><?xml version="1.0" encoding="utf-8"?>
<styleSheet xmlns="http://schemas.openxmlformats.org/spreadsheetml/2006/main">
  <numFmts count="1">
    <numFmt numFmtId="164" formatCode="[h]:mm"/>
  </numFmts>
  <fonts count="5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i/>
      <sz val="11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3294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0" applyFont="1"/>
    <xf numFmtId="3" fontId="2" fillId="0" borderId="2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3" fillId="0" borderId="0" xfId="0" applyFont="1"/>
    <xf numFmtId="0" fontId="0" fillId="0" borderId="0" xfId="0" applyAlignment="1">
      <alignment wrapText="1" vertical="top"/>
    </xf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2" fillId="6" borderId="1" xfId="0" applyFont="1" applyFill="1" applyBorder="1" applyAlignment="1">
      <alignment horizontal="center" vertical="center" wrapText="1"/>
    </xf>
    <xf numFmtId="4" fontId="2" fillId="0" borderId="2" xfId="0" applyNumberFormat="1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33" totalsRowShown="0">
  <autoFilter ref="A1:P233"/>
  <tableColumns count="16">
    <tableColumn id="1" name="Date"/>
    <tableColumn id="2" name="Driver Name"/>
    <tableColumn id="3" name="Car Plate"/>
    <tableColumn id="4" name="Requester"/>
    <tableColumn id="5" name="Employee Name"/>
    <tableColumn id="6" name="Trip Category"/>
    <tableColumn id="7" name="Depatment"/>
    <tableColumn id="8" name="Destination"/>
    <tableColumn id="9" name="Column1"/>
    <tableColumn id="10" name="Strat KM"/>
    <tableColumn id="11" name="End KM"/>
    <tableColumn id="12" name=" KM">
      <calculatedColumnFormula>+Table1[[#This Row],[End KM]]-Table1[[#This Row],[Strat KM]]</calculatedColumnFormula>
    </tableColumn>
    <tableColumn id="13" name="Misr car KM"/>
    <tableColumn id="14" name="Start"/>
    <tableColumn id="15" name="End"/>
    <tableColumn id="16" name="OT Hours">
      <calculatedColumnFormula>IF(O2-N2&gt;TIME(12,0,0),O2-N2-TIME(12,0,0),0)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5" totalsRowShown="0">
  <autoFilter ref="A1:P5"/>
  <tableColumns count="16">
    <tableColumn id="1" name="#">
      <calculatedColumnFormula>+ROW()-1</calculatedColumnFormula>
    </tableColumn>
    <tableColumn id="2" name="Date"/>
    <tableColumn id="3" name="Driver Name"/>
    <tableColumn id="4" name="Car Plate"/>
    <tableColumn id="5" name="Requester"/>
    <tableColumn id="6" name="Employee Name"/>
    <tableColumn id="7" name="Trip Category"/>
    <tableColumn id="8" name="Depatment"/>
    <tableColumn id="9" name="Destination"/>
    <tableColumn id="10" name="Strat KM"/>
    <tableColumn id="11" name="End KM"/>
    <tableColumn id="12" name=" KM"/>
    <tableColumn id="13" name="Misr car KM"/>
    <tableColumn id="14" name="Start"/>
    <tableColumn id="15" name="End"/>
    <tableColumn id="16" name="OT Hour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3"/>
  <sheetViews>
    <sheetView workbookViewId="0" showGridLines="0">
      <pane xSplit="1" topLeftCell="B1" activePane="topRight" state="frozen"/>
    </sheetView>
  </sheetViews>
  <sheetFormatPr defaultRowHeight="15"/>
  <cols>
    <col min="1" max="1" width="11.9" customWidth="1"/>
    <col min="2" max="2" width="28.1" customWidth="1"/>
    <col min="3" max="3" width="13.4" customWidth="1"/>
    <col min="4" max="4" width="24.6" customWidth="1"/>
    <col min="5" max="5" width="26.9" customWidth="1"/>
    <col min="6" max="6" width="17.3" customWidth="1"/>
    <col min="7" max="7" width="15.6" customWidth="1"/>
    <col min="8" max="8" width="66.3" customWidth="1"/>
    <col min="9" max="9" width="14.6" customWidth="1"/>
    <col min="10" max="10" width="13.1" customWidth="1"/>
    <col min="11" max="11" width="12.3" customWidth="1"/>
    <col min="12" max="12" width="9" customWidth="1"/>
    <col min="13" max="13" width="16" customWidth="1"/>
    <col min="14" max="14" width="9.7" customWidth="1"/>
    <col min="15" max="15" width="8.9" customWidth="1"/>
    <col min="16" max="16" width="13.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2">
        <v>46266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J2">
        <v>208835</v>
      </c>
      <c r="K2">
        <v>209259</v>
      </c>
      <c r="L2">
        <f>+Table1[[#This Row],[End KM]]-Table1[[#This Row],[Strat KM]]</f>
        <v>424</v>
      </c>
      <c r="M2">
        <v>424</v>
      </c>
      <c r="P2" s="3">
        <f>IF(O2-N2&gt;TIME(12,0,0),O2-N2-TIME(12,0,0),0)</f>
        <v>0.0</v>
      </c>
    </row>
    <row r="3">
      <c r="A3" s="2">
        <v>46266</v>
      </c>
      <c r="B3" t="s">
        <v>22</v>
      </c>
      <c r="C3" t="s">
        <v>23</v>
      </c>
      <c r="D3" t="s">
        <v>24</v>
      </c>
      <c r="E3" t="s">
        <v>24</v>
      </c>
      <c r="F3" t="s">
        <v>19</v>
      </c>
      <c r="G3" t="s">
        <v>25</v>
      </c>
      <c r="H3" t="s">
        <v>26</v>
      </c>
      <c r="L3">
        <f>+Table1[[#This Row],[End KM]]-Table1[[#This Row],[Strat KM]]</f>
        <v>0</v>
      </c>
      <c r="P3" s="3">
        <f>IF(O3-N3&gt;TIME(12,0,0),O3-N3-TIME(12,0,0),0)</f>
        <v>0.0</v>
      </c>
    </row>
    <row r="4">
      <c r="A4" s="2">
        <v>46266</v>
      </c>
      <c r="B4" t="s">
        <v>16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1</v>
      </c>
      <c r="J4">
        <v>181448</v>
      </c>
      <c r="K4">
        <v>181874</v>
      </c>
      <c r="L4">
        <f>+Table1[[#This Row],[End KM]]-Table1[[#This Row],[Strat KM]]</f>
        <v>426</v>
      </c>
      <c r="M4">
        <v>426</v>
      </c>
      <c r="P4" s="3">
        <f>IF(O4-N4&gt;TIME(12,0,0),O4-N4-TIME(12,0,0),0)</f>
        <v>0.0</v>
      </c>
    </row>
    <row r="5">
      <c r="A5" s="2">
        <v>46266</v>
      </c>
      <c r="B5" t="s">
        <v>33</v>
      </c>
      <c r="C5" t="s">
        <v>34</v>
      </c>
      <c r="D5" t="s">
        <v>35</v>
      </c>
      <c r="E5" t="s">
        <v>35</v>
      </c>
      <c r="F5" t="s">
        <v>19</v>
      </c>
      <c r="G5" t="s">
        <v>36</v>
      </c>
      <c r="H5" t="s">
        <v>37</v>
      </c>
      <c r="J5">
        <v>217531</v>
      </c>
      <c r="K5">
        <v>217763</v>
      </c>
      <c r="L5">
        <f>+Table1[[#This Row],[End KM]]-Table1[[#This Row],[Strat KM]]</f>
        <v>232</v>
      </c>
      <c r="M5">
        <v>232</v>
      </c>
      <c r="P5" s="3">
        <f>IF(O5-N5&gt;TIME(12,0,0),O5-N5-TIME(12,0,0),0)</f>
        <v>0.0</v>
      </c>
    </row>
    <row r="6">
      <c r="A6" s="2">
        <v>46266</v>
      </c>
      <c r="B6" t="s">
        <v>38</v>
      </c>
      <c r="C6" t="s">
        <v>39</v>
      </c>
      <c r="D6" t="s">
        <v>40</v>
      </c>
      <c r="E6" t="s">
        <v>35</v>
      </c>
      <c r="F6" t="s">
        <v>30</v>
      </c>
      <c r="G6" t="s">
        <v>41</v>
      </c>
      <c r="H6" t="s">
        <v>42</v>
      </c>
      <c r="I6">
        <v>2</v>
      </c>
      <c r="J6">
        <v>180137</v>
      </c>
      <c r="K6">
        <v>180610</v>
      </c>
      <c r="L6">
        <f>+Table1[[#This Row],[End KM]]-Table1[[#This Row],[Strat KM]]</f>
        <v>473</v>
      </c>
      <c r="M6">
        <v>473</v>
      </c>
      <c r="P6" s="3">
        <f>IF(O6-N6&gt;TIME(12,0,0),O6-N6-TIME(12,0,0),0)</f>
        <v>0.0</v>
      </c>
    </row>
    <row r="7">
      <c r="A7" s="2">
        <v>46266</v>
      </c>
      <c r="B7" t="s">
        <v>43</v>
      </c>
      <c r="C7" t="s">
        <v>44</v>
      </c>
      <c r="D7" t="s">
        <v>45</v>
      </c>
      <c r="E7" t="s">
        <v>45</v>
      </c>
      <c r="F7" t="s">
        <v>19</v>
      </c>
      <c r="G7" t="s">
        <v>46</v>
      </c>
      <c r="H7" t="s">
        <v>47</v>
      </c>
      <c r="J7">
        <v>311461</v>
      </c>
      <c r="K7">
        <v>311664</v>
      </c>
      <c r="L7">
        <f>+Table1[[#This Row],[End KM]]-Table1[[#This Row],[Strat KM]]</f>
        <v>203</v>
      </c>
      <c r="M7">
        <v>203</v>
      </c>
      <c r="P7" s="3">
        <f>IF(O7-N7&gt;TIME(12,0,0),O7-N7-TIME(12,0,0),0)</f>
        <v>0.0</v>
      </c>
    </row>
    <row r="8">
      <c r="A8" s="2">
        <v>46266</v>
      </c>
      <c r="B8" t="s">
        <v>48</v>
      </c>
      <c r="C8" t="s">
        <v>49</v>
      </c>
      <c r="D8" t="s">
        <v>50</v>
      </c>
      <c r="E8" t="s">
        <v>50</v>
      </c>
      <c r="F8" t="s">
        <v>19</v>
      </c>
      <c r="G8" t="s">
        <v>51</v>
      </c>
      <c r="H8" t="s">
        <v>52</v>
      </c>
      <c r="J8">
        <v>131769</v>
      </c>
      <c r="K8">
        <v>131979</v>
      </c>
      <c r="L8">
        <f>+Table1[[#This Row],[End KM]]-Table1[[#This Row],[Strat KM]]</f>
        <v>210</v>
      </c>
      <c r="M8">
        <v>169</v>
      </c>
      <c r="P8" s="3">
        <f>IF(O8-N8&gt;TIME(12,0,0),O8-N8-TIME(12,0,0),0)</f>
        <v>0.0</v>
      </c>
    </row>
    <row r="9">
      <c r="A9" s="2">
        <v>46266</v>
      </c>
      <c r="B9" t="s">
        <v>53</v>
      </c>
      <c r="C9" t="s">
        <v>54</v>
      </c>
      <c r="D9" t="s">
        <v>45</v>
      </c>
      <c r="E9" t="s">
        <v>45</v>
      </c>
      <c r="F9" t="s">
        <v>19</v>
      </c>
      <c r="G9" t="s">
        <v>55</v>
      </c>
      <c r="H9" t="s">
        <v>47</v>
      </c>
      <c r="J9">
        <v>239156</v>
      </c>
      <c r="K9">
        <v>239574</v>
      </c>
      <c r="L9">
        <f>+Table1[[#This Row],[End KM]]-Table1[[#This Row],[Strat KM]]</f>
        <v>418</v>
      </c>
      <c r="M9">
        <v>386</v>
      </c>
      <c r="P9" s="3">
        <f>IF(O9-N9&gt;TIME(12,0,0),O9-N9-TIME(12,0,0),0)</f>
        <v>0.0</v>
      </c>
    </row>
    <row r="10">
      <c r="A10" s="2">
        <v>46266</v>
      </c>
      <c r="B10" t="s">
        <v>56</v>
      </c>
      <c r="C10" t="s">
        <v>57</v>
      </c>
      <c r="D10" t="s">
        <v>58</v>
      </c>
      <c r="E10" t="s">
        <v>59</v>
      </c>
      <c r="F10" t="s">
        <v>30</v>
      </c>
      <c r="G10" t="s">
        <v>60</v>
      </c>
      <c r="H10" t="s">
        <v>61</v>
      </c>
      <c r="I10">
        <v>3</v>
      </c>
      <c r="J10">
        <v>177006</v>
      </c>
      <c r="K10">
        <v>177209</v>
      </c>
      <c r="L10">
        <f>+Table1[[#This Row],[End KM]]-Table1[[#This Row],[Strat KM]]</f>
        <v>203</v>
      </c>
      <c r="M10">
        <v>203</v>
      </c>
      <c r="P10" s="3">
        <f>IF(O10-N10&gt;TIME(12,0,0),O10-N10-TIME(12,0,0),0)</f>
        <v>0.0</v>
      </c>
    </row>
    <row r="11">
      <c r="A11" s="2">
        <v>46266</v>
      </c>
      <c r="B11" t="s">
        <v>62</v>
      </c>
      <c r="C11" t="s">
        <v>63</v>
      </c>
      <c r="D11" t="s">
        <v>45</v>
      </c>
      <c r="E11" t="s">
        <v>45</v>
      </c>
      <c r="F11" t="s">
        <v>19</v>
      </c>
      <c r="G11" t="s">
        <v>64</v>
      </c>
      <c r="H11" t="s">
        <v>37</v>
      </c>
      <c r="J11">
        <v>169183</v>
      </c>
      <c r="K11">
        <v>169298</v>
      </c>
      <c r="L11">
        <f>+Table1[[#This Row],[End KM]]-Table1[[#This Row],[Strat KM]]</f>
        <v>115</v>
      </c>
      <c r="M11">
        <v>136</v>
      </c>
      <c r="P11" s="3">
        <f>IF(O11-N11&gt;TIME(12,0,0),O11-N11-TIME(12,0,0),0)</f>
        <v>0.0</v>
      </c>
    </row>
    <row r="12">
      <c r="A12" s="2">
        <v>46267</v>
      </c>
      <c r="B12" t="s">
        <v>65</v>
      </c>
      <c r="C12" t="s">
        <v>27</v>
      </c>
      <c r="D12" t="s">
        <v>66</v>
      </c>
      <c r="E12" t="s">
        <v>66</v>
      </c>
      <c r="F12" t="s">
        <v>19</v>
      </c>
      <c r="G12" t="s">
        <v>67</v>
      </c>
      <c r="H12" t="s">
        <v>68</v>
      </c>
      <c r="J12">
        <v>181874</v>
      </c>
      <c r="K12">
        <v>182076</v>
      </c>
      <c r="L12">
        <f>+Table1[[#This Row],[End KM]]-Table1[[#This Row],[Strat KM]]</f>
        <v>202</v>
      </c>
      <c r="M12">
        <v>202</v>
      </c>
      <c r="P12" s="3">
        <f>IF(O12-N12&gt;TIME(12,0,0),O12-N12-TIME(12,0,0),0)</f>
        <v>0.0</v>
      </c>
    </row>
    <row r="13">
      <c r="A13" s="2">
        <v>46267</v>
      </c>
      <c r="B13" t="s">
        <v>53</v>
      </c>
      <c r="C13" t="s">
        <v>69</v>
      </c>
      <c r="D13" t="s">
        <v>70</v>
      </c>
      <c r="E13" t="s">
        <v>71</v>
      </c>
      <c r="F13" t="s">
        <v>30</v>
      </c>
      <c r="G13" t="s">
        <v>46</v>
      </c>
      <c r="H13" t="s">
        <v>37</v>
      </c>
      <c r="I13">
        <v>4</v>
      </c>
      <c r="J13">
        <v>251290</v>
      </c>
      <c r="K13">
        <v>251559</v>
      </c>
      <c r="L13">
        <f>+Table1[[#This Row],[End KM]]-Table1[[#This Row],[Strat KM]]</f>
        <v>269</v>
      </c>
      <c r="M13">
        <v>269</v>
      </c>
      <c r="P13" s="3">
        <f>IF(O13-N13&gt;TIME(12,0,0),O13-N13-TIME(12,0,0),0)</f>
        <v>0.0</v>
      </c>
    </row>
    <row r="14">
      <c r="A14" s="2">
        <v>46267</v>
      </c>
      <c r="B14" t="s">
        <v>72</v>
      </c>
      <c r="C14" t="s">
        <v>73</v>
      </c>
      <c r="D14" t="s">
        <v>74</v>
      </c>
      <c r="E14" t="s">
        <v>75</v>
      </c>
      <c r="F14" t="s">
        <v>30</v>
      </c>
      <c r="G14" t="s">
        <v>31</v>
      </c>
      <c r="H14" t="s">
        <v>76</v>
      </c>
      <c r="I14">
        <v>5</v>
      </c>
      <c r="J14">
        <v>111057</v>
      </c>
      <c r="K14">
        <v>111173</v>
      </c>
      <c r="L14">
        <f>+Table1[[#This Row],[End KM]]-Table1[[#This Row],[Strat KM]]</f>
        <v>116</v>
      </c>
      <c r="M14">
        <v>116</v>
      </c>
      <c r="P14" s="3">
        <f>IF(O14-N14&gt;TIME(12,0,0),O14-N14-TIME(12,0,0),0)</f>
        <v>0.0</v>
      </c>
    </row>
    <row r="15">
      <c r="A15" s="2">
        <v>46267</v>
      </c>
      <c r="B15" t="s">
        <v>56</v>
      </c>
      <c r="C15" t="s">
        <v>77</v>
      </c>
      <c r="D15" t="s">
        <v>78</v>
      </c>
      <c r="E15" t="s">
        <v>79</v>
      </c>
      <c r="F15" t="s">
        <v>30</v>
      </c>
      <c r="G15" t="s">
        <v>80</v>
      </c>
      <c r="H15" t="s">
        <v>81</v>
      </c>
      <c r="I15">
        <v>6</v>
      </c>
      <c r="J15">
        <v>280255</v>
      </c>
      <c r="K15">
        <v>280719</v>
      </c>
      <c r="L15">
        <f>+Table1[[#This Row],[End KM]]-Table1[[#This Row],[Strat KM]]</f>
        <v>464</v>
      </c>
      <c r="M15">
        <v>424</v>
      </c>
      <c r="P15" s="3">
        <f>IF(O15-N15&gt;TIME(12,0,0),O15-N15-TIME(12,0,0),0)</f>
        <v>0.0</v>
      </c>
    </row>
    <row r="16">
      <c r="A16" s="2">
        <v>46267</v>
      </c>
      <c r="B16" t="s">
        <v>72</v>
      </c>
      <c r="C16" t="s">
        <v>82</v>
      </c>
      <c r="D16" t="s">
        <v>83</v>
      </c>
      <c r="E16" t="s">
        <v>83</v>
      </c>
      <c r="F16" t="s">
        <v>19</v>
      </c>
      <c r="G16" t="s">
        <v>25</v>
      </c>
      <c r="H16" t="s">
        <v>84</v>
      </c>
      <c r="J16">
        <v>195469</v>
      </c>
      <c r="K16">
        <v>195671</v>
      </c>
      <c r="L16">
        <f>+Table1[[#This Row],[End KM]]-Table1[[#This Row],[Strat KM]]</f>
        <v>202</v>
      </c>
      <c r="M16">
        <v>202</v>
      </c>
      <c r="P16" s="3">
        <f>IF(O16-N16&gt;TIME(12,0,0),O16-N16-TIME(12,0,0),0)</f>
        <v>0.0</v>
      </c>
    </row>
    <row r="17">
      <c r="A17" s="2">
        <v>46267</v>
      </c>
      <c r="B17" t="s">
        <v>85</v>
      </c>
      <c r="C17" t="s">
        <v>86</v>
      </c>
      <c r="D17" t="s">
        <v>87</v>
      </c>
      <c r="E17" t="s">
        <v>87</v>
      </c>
      <c r="F17" t="s">
        <v>19</v>
      </c>
      <c r="G17" t="s">
        <v>88</v>
      </c>
      <c r="H17" t="s">
        <v>37</v>
      </c>
      <c r="J17">
        <v>219403</v>
      </c>
      <c r="K17">
        <v>219530</v>
      </c>
      <c r="L17">
        <f>+Table1[[#This Row],[End KM]]-Table1[[#This Row],[Strat KM]]</f>
        <v>127</v>
      </c>
      <c r="M17">
        <v>127</v>
      </c>
      <c r="P17" s="3">
        <f>IF(O17-N17&gt;TIME(12,0,0),O17-N17-TIME(12,0,0),0)</f>
        <v>0.0</v>
      </c>
    </row>
    <row r="18">
      <c r="A18" s="2">
        <v>46267</v>
      </c>
      <c r="B18" t="s">
        <v>89</v>
      </c>
      <c r="C18" t="s">
        <v>49</v>
      </c>
      <c r="D18" t="s">
        <v>90</v>
      </c>
      <c r="E18" t="s">
        <v>91</v>
      </c>
      <c r="F18" t="s">
        <v>30</v>
      </c>
      <c r="G18" t="s">
        <v>92</v>
      </c>
      <c r="H18" t="s">
        <v>93</v>
      </c>
      <c r="I18">
        <v>7</v>
      </c>
      <c r="J18">
        <v>131979</v>
      </c>
      <c r="K18">
        <v>132242</v>
      </c>
      <c r="L18">
        <f>+Table1[[#This Row],[End KM]]-Table1[[#This Row],[Strat KM]]</f>
        <v>263</v>
      </c>
      <c r="M18">
        <v>284</v>
      </c>
      <c r="P18" s="3">
        <f>IF(O18-N18&gt;TIME(12,0,0),O18-N18-TIME(12,0,0),0)</f>
        <v>0.0</v>
      </c>
    </row>
    <row r="19">
      <c r="A19" s="2">
        <v>46267</v>
      </c>
      <c r="B19" t="s">
        <v>24</v>
      </c>
      <c r="C19" t="s">
        <v>94</v>
      </c>
      <c r="D19" t="s">
        <v>45</v>
      </c>
      <c r="E19" t="s">
        <v>45</v>
      </c>
      <c r="F19" t="s">
        <v>19</v>
      </c>
      <c r="G19" t="s">
        <v>95</v>
      </c>
      <c r="H19" t="s">
        <v>96</v>
      </c>
      <c r="J19">
        <v>221513</v>
      </c>
      <c r="K19">
        <v>221763</v>
      </c>
      <c r="L19">
        <f>+Table1[[#This Row],[End KM]]-Table1[[#This Row],[Strat KM]]</f>
        <v>250</v>
      </c>
      <c r="M19">
        <v>250</v>
      </c>
      <c r="P19" s="3">
        <f>IF(O19-N19&gt;TIME(12,0,0),O19-N19-TIME(12,0,0),0)</f>
        <v>0.0</v>
      </c>
    </row>
    <row r="20">
      <c r="A20" s="2">
        <v>46267</v>
      </c>
      <c r="B20" t="s">
        <v>43</v>
      </c>
      <c r="C20" t="s">
        <v>97</v>
      </c>
      <c r="D20" t="s">
        <v>98</v>
      </c>
      <c r="E20" t="s">
        <v>98</v>
      </c>
      <c r="F20" t="s">
        <v>19</v>
      </c>
      <c r="G20" t="s">
        <v>99</v>
      </c>
      <c r="H20" t="s">
        <v>76</v>
      </c>
      <c r="J20">
        <v>126035</v>
      </c>
      <c r="K20">
        <v>126462</v>
      </c>
      <c r="L20">
        <f>+Table1[[#This Row],[End KM]]-Table1[[#This Row],[Strat KM]]</f>
        <v>427</v>
      </c>
      <c r="M20">
        <v>427</v>
      </c>
      <c r="P20" s="3">
        <f>IF(O20-N20&gt;TIME(12,0,0),O20-N20-TIME(12,0,0),0)</f>
        <v>0.0</v>
      </c>
    </row>
    <row r="21">
      <c r="A21" s="2">
        <v>46267</v>
      </c>
      <c r="B21" t="s">
        <v>100</v>
      </c>
      <c r="C21" t="s">
        <v>101</v>
      </c>
      <c r="D21" t="s">
        <v>102</v>
      </c>
      <c r="E21" t="s">
        <v>103</v>
      </c>
      <c r="F21" t="s">
        <v>30</v>
      </c>
      <c r="G21" t="s">
        <v>46</v>
      </c>
      <c r="H21" t="s">
        <v>104</v>
      </c>
      <c r="I21">
        <v>1</v>
      </c>
      <c r="J21">
        <v>311390</v>
      </c>
      <c r="K21">
        <v>311600</v>
      </c>
      <c r="L21">
        <f>+Table1[[#This Row],[End KM]]-Table1[[#This Row],[Strat KM]]</f>
        <v>210</v>
      </c>
      <c r="M21">
        <v>210</v>
      </c>
      <c r="P21" s="3">
        <f>IF(O21-N21&gt;TIME(12,0,0),O21-N21-TIME(12,0,0),0)</f>
        <v>0.0</v>
      </c>
    </row>
    <row r="22">
      <c r="A22" s="2">
        <v>46268</v>
      </c>
      <c r="B22" t="s">
        <v>105</v>
      </c>
      <c r="C22" t="s">
        <v>77</v>
      </c>
      <c r="D22" t="s">
        <v>70</v>
      </c>
      <c r="E22" t="s">
        <v>70</v>
      </c>
      <c r="F22" t="s">
        <v>19</v>
      </c>
      <c r="G22" t="s">
        <v>106</v>
      </c>
      <c r="H22" t="s">
        <v>107</v>
      </c>
      <c r="J22">
        <v>280719</v>
      </c>
      <c r="K22">
        <v>281193</v>
      </c>
      <c r="L22">
        <f>+Table1[[#This Row],[End KM]]-Table1[[#This Row],[Strat KM]]</f>
        <v>474</v>
      </c>
      <c r="M22">
        <v>474</v>
      </c>
      <c r="P22" s="3">
        <f>IF(O22-N22&gt;TIME(12,0,0),O22-N22-TIME(12,0,0),0)</f>
        <v>0.0</v>
      </c>
    </row>
    <row r="23">
      <c r="A23" s="2">
        <v>46268</v>
      </c>
      <c r="B23" t="s">
        <v>108</v>
      </c>
      <c r="C23" t="s">
        <v>109</v>
      </c>
      <c r="D23" t="s">
        <v>110</v>
      </c>
      <c r="E23" t="s">
        <v>110</v>
      </c>
      <c r="F23" t="s">
        <v>19</v>
      </c>
      <c r="G23" t="s">
        <v>25</v>
      </c>
      <c r="H23" t="s">
        <v>111</v>
      </c>
      <c r="J23">
        <v>153560</v>
      </c>
      <c r="K23">
        <v>153825</v>
      </c>
      <c r="L23">
        <f>+Table1[[#This Row],[End KM]]-Table1[[#This Row],[Strat KM]]</f>
        <v>265</v>
      </c>
      <c r="M23">
        <v>265</v>
      </c>
      <c r="P23" s="3">
        <f>IF(O23-N23&gt;TIME(12,0,0),O23-N23-TIME(12,0,0),0)</f>
        <v>0.0</v>
      </c>
    </row>
    <row r="24">
      <c r="A24" s="2">
        <v>46268</v>
      </c>
      <c r="B24" t="s">
        <v>112</v>
      </c>
      <c r="C24" t="s">
        <v>113</v>
      </c>
      <c r="D24" t="s">
        <v>114</v>
      </c>
      <c r="E24" t="s">
        <v>103</v>
      </c>
      <c r="F24" t="s">
        <v>30</v>
      </c>
      <c r="G24" t="s">
        <v>31</v>
      </c>
      <c r="H24" t="s">
        <v>115</v>
      </c>
      <c r="I24">
        <v>2</v>
      </c>
      <c r="J24">
        <v>74102</v>
      </c>
      <c r="K24">
        <v>74308</v>
      </c>
      <c r="L24">
        <f>+Table1[[#This Row],[End KM]]-Table1[[#This Row],[Strat KM]]</f>
        <v>206</v>
      </c>
      <c r="M24">
        <v>206</v>
      </c>
      <c r="P24" s="3">
        <f>IF(O24-N24&gt;TIME(12,0,0),O24-N24-TIME(12,0,0),0)</f>
        <v>0.0</v>
      </c>
    </row>
    <row r="25">
      <c r="A25" s="2">
        <v>46268</v>
      </c>
      <c r="B25" t="s">
        <v>62</v>
      </c>
      <c r="C25" t="s">
        <v>116</v>
      </c>
      <c r="D25" t="s">
        <v>117</v>
      </c>
      <c r="E25" t="s">
        <v>117</v>
      </c>
      <c r="F25" t="s">
        <v>19</v>
      </c>
      <c r="G25" t="s">
        <v>46</v>
      </c>
      <c r="H25" t="s">
        <v>21</v>
      </c>
      <c r="J25">
        <v>215841</v>
      </c>
      <c r="K25">
        <v>216092</v>
      </c>
      <c r="L25">
        <f>+Table1[[#This Row],[End KM]]-Table1[[#This Row],[Strat KM]]</f>
        <v>251</v>
      </c>
      <c r="M25">
        <v>251</v>
      </c>
      <c r="P25" s="3">
        <f>IF(O25-N25&gt;TIME(12,0,0),O25-N25-TIME(12,0,0),0)</f>
        <v>0.0</v>
      </c>
    </row>
    <row r="26">
      <c r="A26" s="2">
        <v>46268</v>
      </c>
      <c r="B26" t="s">
        <v>24</v>
      </c>
      <c r="C26" t="s">
        <v>118</v>
      </c>
      <c r="D26" t="s">
        <v>110</v>
      </c>
      <c r="E26" t="s">
        <v>110</v>
      </c>
      <c r="F26" t="s">
        <v>19</v>
      </c>
      <c r="G26" t="s">
        <v>106</v>
      </c>
      <c r="H26" t="s">
        <v>119</v>
      </c>
      <c r="J26">
        <v>64407</v>
      </c>
      <c r="K26">
        <v>64634</v>
      </c>
      <c r="L26">
        <f>+Table1[[#This Row],[End KM]]-Table1[[#This Row],[Strat KM]]</f>
        <v>227</v>
      </c>
      <c r="M26">
        <v>257</v>
      </c>
      <c r="P26" s="3">
        <f>IF(O26-N26&gt;TIME(12,0,0),O26-N26-TIME(12,0,0),0)</f>
        <v>0.0</v>
      </c>
    </row>
    <row r="27">
      <c r="A27" s="2">
        <v>46268</v>
      </c>
      <c r="B27" t="s">
        <v>62</v>
      </c>
      <c r="C27" t="s">
        <v>120</v>
      </c>
      <c r="D27" t="s">
        <v>121</v>
      </c>
      <c r="E27" t="s">
        <v>121</v>
      </c>
      <c r="F27" t="s">
        <v>19</v>
      </c>
      <c r="G27" t="s">
        <v>67</v>
      </c>
      <c r="H27" t="s">
        <v>42</v>
      </c>
      <c r="J27">
        <v>283995</v>
      </c>
      <c r="K27">
        <v>284115</v>
      </c>
      <c r="L27">
        <f>+Table1[[#This Row],[End KM]]-Table1[[#This Row],[Strat KM]]</f>
        <v>120</v>
      </c>
      <c r="M27">
        <v>120</v>
      </c>
      <c r="P27" s="3">
        <f>IF(O27-N27&gt;TIME(12,0,0),O27-N27-TIME(12,0,0),0)</f>
        <v>0.0</v>
      </c>
    </row>
    <row r="28">
      <c r="A28" s="2">
        <v>46268</v>
      </c>
      <c r="B28" t="s">
        <v>122</v>
      </c>
      <c r="C28" t="s">
        <v>123</v>
      </c>
      <c r="D28" t="s">
        <v>124</v>
      </c>
      <c r="E28" t="s">
        <v>125</v>
      </c>
      <c r="F28" t="s">
        <v>30</v>
      </c>
      <c r="G28" t="s">
        <v>80</v>
      </c>
      <c r="H28" t="s">
        <v>68</v>
      </c>
      <c r="I28">
        <v>3</v>
      </c>
      <c r="J28">
        <v>191976</v>
      </c>
      <c r="K28">
        <v>192243</v>
      </c>
      <c r="L28">
        <f>+Table1[[#This Row],[End KM]]-Table1[[#This Row],[Strat KM]]</f>
        <v>267</v>
      </c>
      <c r="M28">
        <v>297</v>
      </c>
      <c r="P28" s="3">
        <f>IF(O28-N28&gt;TIME(12,0,0),O28-N28-TIME(12,0,0),0)</f>
        <v>0.0</v>
      </c>
    </row>
    <row r="29">
      <c r="A29" s="2">
        <v>46268</v>
      </c>
      <c r="B29" t="s">
        <v>126</v>
      </c>
      <c r="C29" t="s">
        <v>44</v>
      </c>
      <c r="D29" t="s">
        <v>28</v>
      </c>
      <c r="E29" t="s">
        <v>28</v>
      </c>
      <c r="F29" t="s">
        <v>19</v>
      </c>
      <c r="G29" t="s">
        <v>41</v>
      </c>
      <c r="H29" t="s">
        <v>76</v>
      </c>
      <c r="J29">
        <v>311664</v>
      </c>
      <c r="K29">
        <v>311893</v>
      </c>
      <c r="L29">
        <f>+Table1[[#This Row],[End KM]]-Table1[[#This Row],[Strat KM]]</f>
        <v>229</v>
      </c>
      <c r="M29">
        <v>229</v>
      </c>
      <c r="P29" s="3">
        <f>IF(O29-N29&gt;TIME(12,0,0),O29-N29-TIME(12,0,0),0)</f>
        <v>0.0</v>
      </c>
    </row>
    <row r="30">
      <c r="A30" s="2">
        <v>46268</v>
      </c>
      <c r="B30" t="s">
        <v>16</v>
      </c>
      <c r="C30" t="s">
        <v>54</v>
      </c>
      <c r="D30" t="s">
        <v>28</v>
      </c>
      <c r="E30" t="s">
        <v>28</v>
      </c>
      <c r="F30" t="s">
        <v>19</v>
      </c>
      <c r="G30" t="s">
        <v>51</v>
      </c>
      <c r="H30" t="s">
        <v>127</v>
      </c>
      <c r="J30">
        <v>239584</v>
      </c>
      <c r="K30">
        <v>239837</v>
      </c>
      <c r="L30">
        <f>+Table1[[#This Row],[End KM]]-Table1[[#This Row],[Strat KM]]</f>
        <v>253</v>
      </c>
      <c r="M30">
        <v>283</v>
      </c>
      <c r="P30" s="3">
        <f>IF(O30-N30&gt;TIME(12,0,0),O30-N30-TIME(12,0,0),0)</f>
        <v>0.0</v>
      </c>
    </row>
    <row r="31">
      <c r="A31" s="2">
        <v>46268</v>
      </c>
      <c r="B31" t="s">
        <v>62</v>
      </c>
      <c r="C31" t="s">
        <v>63</v>
      </c>
      <c r="D31" t="s">
        <v>50</v>
      </c>
      <c r="E31" t="s">
        <v>103</v>
      </c>
      <c r="F31" t="s">
        <v>30</v>
      </c>
      <c r="G31" t="s">
        <v>41</v>
      </c>
      <c r="H31" t="s">
        <v>128</v>
      </c>
      <c r="I31">
        <v>4</v>
      </c>
      <c r="J31">
        <v>169348</v>
      </c>
      <c r="K31">
        <v>169606</v>
      </c>
      <c r="L31">
        <f>+Table1[[#This Row],[End KM]]-Table1[[#This Row],[Strat KM]]</f>
        <v>258</v>
      </c>
      <c r="M31">
        <v>258</v>
      </c>
      <c r="P31" s="3">
        <f>IF(O31-N31&gt;TIME(12,0,0),O31-N31-TIME(12,0,0),0)</f>
        <v>0.0</v>
      </c>
    </row>
    <row r="32">
      <c r="A32" s="2">
        <v>46270</v>
      </c>
      <c r="B32" t="s">
        <v>33</v>
      </c>
      <c r="C32" t="s">
        <v>129</v>
      </c>
      <c r="D32" t="s">
        <v>114</v>
      </c>
      <c r="E32" t="s">
        <v>114</v>
      </c>
      <c r="F32" t="s">
        <v>19</v>
      </c>
      <c r="G32" t="s">
        <v>95</v>
      </c>
      <c r="H32" t="s">
        <v>130</v>
      </c>
      <c r="J32">
        <v>282780</v>
      </c>
      <c r="K32">
        <v>282979</v>
      </c>
      <c r="L32">
        <f>+Table1[[#This Row],[End KM]]-Table1[[#This Row],[Strat KM]]</f>
        <v>199</v>
      </c>
      <c r="M32">
        <v>199</v>
      </c>
      <c r="P32" s="3">
        <f>IF(O32-N32&gt;TIME(12,0,0),O32-N32-TIME(12,0,0),0)</f>
        <v>0.0</v>
      </c>
    </row>
    <row r="33">
      <c r="A33" s="2">
        <v>46270</v>
      </c>
      <c r="B33" t="s">
        <v>131</v>
      </c>
      <c r="C33" t="s">
        <v>116</v>
      </c>
      <c r="D33" t="s">
        <v>132</v>
      </c>
      <c r="E33" t="s">
        <v>132</v>
      </c>
      <c r="F33" t="s">
        <v>19</v>
      </c>
      <c r="G33" t="s">
        <v>51</v>
      </c>
      <c r="H33" t="s">
        <v>133</v>
      </c>
      <c r="J33">
        <v>216102</v>
      </c>
      <c r="K33">
        <v>216523</v>
      </c>
      <c r="L33">
        <f>+Table1[[#This Row],[End KM]]-Table1[[#This Row],[Strat KM]]</f>
        <v>421</v>
      </c>
      <c r="M33">
        <v>421</v>
      </c>
      <c r="P33" s="3">
        <f>IF(O33-N33&gt;TIME(12,0,0),O33-N33-TIME(12,0,0),0)</f>
        <v>0.0</v>
      </c>
    </row>
    <row r="34">
      <c r="A34" s="2">
        <v>46270</v>
      </c>
      <c r="B34" t="s">
        <v>72</v>
      </c>
      <c r="C34" t="s">
        <v>86</v>
      </c>
      <c r="D34" t="s">
        <v>74</v>
      </c>
      <c r="E34" t="s">
        <v>75</v>
      </c>
      <c r="F34" t="s">
        <v>30</v>
      </c>
      <c r="G34" t="s">
        <v>31</v>
      </c>
      <c r="H34" t="s">
        <v>134</v>
      </c>
      <c r="I34">
        <v>5</v>
      </c>
      <c r="J34">
        <v>219580</v>
      </c>
      <c r="K34">
        <v>219806</v>
      </c>
      <c r="L34">
        <f>+Table1[[#This Row],[End KM]]-Table1[[#This Row],[Strat KM]]</f>
        <v>226</v>
      </c>
      <c r="M34">
        <v>247</v>
      </c>
      <c r="P34" s="3">
        <f>IF(O34-N34&gt;TIME(12,0,0),O34-N34-TIME(12,0,0),0)</f>
        <v>0.0</v>
      </c>
    </row>
    <row r="35">
      <c r="A35" s="2">
        <v>46270</v>
      </c>
      <c r="B35" t="s">
        <v>135</v>
      </c>
      <c r="C35" t="s">
        <v>34</v>
      </c>
      <c r="D35" t="s">
        <v>136</v>
      </c>
      <c r="E35" t="s">
        <v>136</v>
      </c>
      <c r="F35" t="s">
        <v>19</v>
      </c>
      <c r="G35" t="s">
        <v>88</v>
      </c>
      <c r="H35" t="s">
        <v>107</v>
      </c>
      <c r="J35">
        <v>217763</v>
      </c>
      <c r="K35">
        <v>218176</v>
      </c>
      <c r="L35">
        <f>+Table1[[#This Row],[End KM]]-Table1[[#This Row],[Strat KM]]</f>
        <v>413</v>
      </c>
      <c r="M35">
        <v>413</v>
      </c>
      <c r="P35" s="3">
        <f>IF(O35-N35&gt;TIME(12,0,0),O35-N35-TIME(12,0,0),0)</f>
        <v>0.0</v>
      </c>
    </row>
    <row r="36">
      <c r="A36" s="2">
        <v>46270</v>
      </c>
      <c r="B36" t="s">
        <v>131</v>
      </c>
      <c r="C36" t="s">
        <v>44</v>
      </c>
      <c r="D36" t="s">
        <v>72</v>
      </c>
      <c r="E36" t="s">
        <v>72</v>
      </c>
      <c r="F36" t="s">
        <v>19</v>
      </c>
      <c r="G36" t="s">
        <v>106</v>
      </c>
      <c r="H36" t="s">
        <v>107</v>
      </c>
      <c r="J36">
        <v>311903</v>
      </c>
      <c r="K36">
        <v>312161</v>
      </c>
      <c r="L36">
        <f>+Table1[[#This Row],[End KM]]-Table1[[#This Row],[Strat KM]]</f>
        <v>258</v>
      </c>
      <c r="M36">
        <v>258</v>
      </c>
      <c r="P36" s="3">
        <f>IF(O36-N36&gt;TIME(12,0,0),O36-N36-TIME(12,0,0),0)</f>
        <v>0.0</v>
      </c>
    </row>
    <row r="37">
      <c r="A37" s="2">
        <v>46270</v>
      </c>
      <c r="B37" t="s">
        <v>137</v>
      </c>
      <c r="C37" t="s">
        <v>138</v>
      </c>
      <c r="D37" t="s">
        <v>124</v>
      </c>
      <c r="E37" t="s">
        <v>103</v>
      </c>
      <c r="F37" t="s">
        <v>30</v>
      </c>
      <c r="G37" t="s">
        <v>20</v>
      </c>
      <c r="H37" t="s">
        <v>107</v>
      </c>
      <c r="I37">
        <v>6</v>
      </c>
      <c r="J37">
        <v>135907</v>
      </c>
      <c r="K37">
        <v>136155</v>
      </c>
      <c r="L37">
        <f>+Table1[[#This Row],[End KM]]-Table1[[#This Row],[Strat KM]]</f>
        <v>248</v>
      </c>
      <c r="M37">
        <v>80</v>
      </c>
      <c r="P37" s="3">
        <f>IF(O37-N37&gt;TIME(12,0,0),O37-N37-TIME(12,0,0),0)</f>
        <v>0.0</v>
      </c>
    </row>
    <row r="38">
      <c r="A38" s="2">
        <v>46270</v>
      </c>
      <c r="B38" t="s">
        <v>139</v>
      </c>
      <c r="C38" t="s">
        <v>123</v>
      </c>
      <c r="D38" t="s">
        <v>98</v>
      </c>
      <c r="E38" t="s">
        <v>98</v>
      </c>
      <c r="F38" t="s">
        <v>19</v>
      </c>
      <c r="G38" t="s">
        <v>92</v>
      </c>
      <c r="H38" t="s">
        <v>96</v>
      </c>
      <c r="J38">
        <v>192243</v>
      </c>
      <c r="K38">
        <v>192659</v>
      </c>
      <c r="L38">
        <f>+Table1[[#This Row],[End KM]]-Table1[[#This Row],[Strat KM]]</f>
        <v>416</v>
      </c>
      <c r="M38">
        <v>384</v>
      </c>
      <c r="P38" s="3">
        <f>IF(O38-N38&gt;TIME(12,0,0),O38-N38-TIME(12,0,0),0)</f>
        <v>0.0</v>
      </c>
    </row>
    <row r="39">
      <c r="A39" s="2">
        <v>46270</v>
      </c>
      <c r="B39" t="s">
        <v>62</v>
      </c>
      <c r="C39" t="s">
        <v>140</v>
      </c>
      <c r="D39" t="s">
        <v>45</v>
      </c>
      <c r="E39" t="s">
        <v>45</v>
      </c>
      <c r="F39" t="s">
        <v>19</v>
      </c>
      <c r="G39" t="s">
        <v>64</v>
      </c>
      <c r="H39" t="s">
        <v>141</v>
      </c>
      <c r="J39">
        <v>277252</v>
      </c>
      <c r="K39">
        <v>277713</v>
      </c>
      <c r="L39">
        <f>+Table1[[#This Row],[End KM]]-Table1[[#This Row],[Strat KM]]</f>
        <v>461</v>
      </c>
      <c r="M39">
        <v>461</v>
      </c>
      <c r="P39" s="3">
        <f>IF(O39-N39&gt;TIME(12,0,0),O39-N39-TIME(12,0,0),0)</f>
        <v>0.0</v>
      </c>
    </row>
    <row r="40">
      <c r="A40" s="2">
        <v>46270</v>
      </c>
      <c r="B40" t="s">
        <v>142</v>
      </c>
      <c r="C40" t="s">
        <v>63</v>
      </c>
      <c r="D40" t="s">
        <v>110</v>
      </c>
      <c r="E40" t="s">
        <v>110</v>
      </c>
      <c r="F40" t="s">
        <v>19</v>
      </c>
      <c r="G40" t="s">
        <v>143</v>
      </c>
      <c r="H40" t="s">
        <v>76</v>
      </c>
      <c r="J40">
        <v>169656</v>
      </c>
      <c r="K40">
        <v>169914</v>
      </c>
      <c r="L40">
        <f>+Table1[[#This Row],[End KM]]-Table1[[#This Row],[Strat KM]]</f>
        <v>258</v>
      </c>
      <c r="M40">
        <v>258</v>
      </c>
      <c r="P40" s="3">
        <f>IF(O40-N40&gt;TIME(12,0,0),O40-N40-TIME(12,0,0),0)</f>
        <v>0.0</v>
      </c>
    </row>
    <row r="41">
      <c r="A41" s="2">
        <v>46270</v>
      </c>
      <c r="B41" t="s">
        <v>126</v>
      </c>
      <c r="C41" t="s">
        <v>39</v>
      </c>
      <c r="D41" t="s">
        <v>74</v>
      </c>
      <c r="E41" t="s">
        <v>28</v>
      </c>
      <c r="F41" t="s">
        <v>30</v>
      </c>
      <c r="G41" t="s">
        <v>144</v>
      </c>
      <c r="H41" t="s">
        <v>145</v>
      </c>
      <c r="I41">
        <v>7</v>
      </c>
      <c r="J41">
        <v>180610</v>
      </c>
      <c r="K41">
        <v>180836</v>
      </c>
      <c r="L41">
        <f>+Table1[[#This Row],[End KM]]-Table1[[#This Row],[Strat KM]]</f>
        <v>226</v>
      </c>
      <c r="M41">
        <v>247</v>
      </c>
      <c r="P41" s="3">
        <f>IF(O41-N41&gt;TIME(12,0,0),O41-N41-TIME(12,0,0),0)</f>
        <v>0.0</v>
      </c>
    </row>
    <row r="42">
      <c r="A42" s="2">
        <v>46271</v>
      </c>
      <c r="B42" t="s">
        <v>146</v>
      </c>
      <c r="C42" t="s">
        <v>129</v>
      </c>
      <c r="D42" t="s">
        <v>147</v>
      </c>
      <c r="E42" t="s">
        <v>147</v>
      </c>
      <c r="F42" t="s">
        <v>19</v>
      </c>
      <c r="G42" t="s">
        <v>60</v>
      </c>
      <c r="H42" t="s">
        <v>148</v>
      </c>
      <c r="J42">
        <v>282979</v>
      </c>
      <c r="K42">
        <v>283403</v>
      </c>
      <c r="L42">
        <f>+Table1[[#This Row],[End KM]]-Table1[[#This Row],[Strat KM]]</f>
        <v>424</v>
      </c>
      <c r="M42">
        <v>424</v>
      </c>
      <c r="P42" s="3">
        <f>IF(O42-N42&gt;TIME(12,0,0),O42-N42-TIME(12,0,0),0)</f>
        <v>0.0</v>
      </c>
    </row>
    <row r="43">
      <c r="A43" s="2">
        <v>46271</v>
      </c>
      <c r="B43" t="s">
        <v>149</v>
      </c>
      <c r="C43" t="s">
        <v>49</v>
      </c>
      <c r="D43" t="s">
        <v>53</v>
      </c>
      <c r="E43" t="s">
        <v>103</v>
      </c>
      <c r="F43" t="s">
        <v>30</v>
      </c>
      <c r="G43" t="s">
        <v>20</v>
      </c>
      <c r="H43" t="s">
        <v>84</v>
      </c>
      <c r="I43">
        <v>1</v>
      </c>
      <c r="J43">
        <v>132242</v>
      </c>
      <c r="K43">
        <v>132458</v>
      </c>
      <c r="L43">
        <f>+Table1[[#This Row],[End KM]]-Table1[[#This Row],[Strat KM]]</f>
        <v>216</v>
      </c>
      <c r="M43">
        <v>216</v>
      </c>
      <c r="P43" s="3">
        <f>IF(O43-N43&gt;TIME(12,0,0),O43-N43-TIME(12,0,0),0)</f>
        <v>0.0</v>
      </c>
    </row>
    <row r="44">
      <c r="A44" s="2">
        <v>46271</v>
      </c>
      <c r="B44" t="s">
        <v>150</v>
      </c>
      <c r="C44" t="s">
        <v>151</v>
      </c>
      <c r="D44" t="s">
        <v>72</v>
      </c>
      <c r="E44" t="s">
        <v>72</v>
      </c>
      <c r="F44" t="s">
        <v>19</v>
      </c>
      <c r="G44" t="s">
        <v>152</v>
      </c>
      <c r="H44" t="s">
        <v>47</v>
      </c>
      <c r="J44">
        <v>285854</v>
      </c>
      <c r="K44">
        <v>286062</v>
      </c>
      <c r="L44">
        <f>+Table1[[#This Row],[End KM]]-Table1[[#This Row],[Strat KM]]</f>
        <v>208</v>
      </c>
      <c r="M44">
        <v>208</v>
      </c>
      <c r="P44" s="3">
        <f>IF(O44-N44&gt;TIME(12,0,0),O44-N44-TIME(12,0,0),0)</f>
        <v>0.0</v>
      </c>
    </row>
    <row r="45">
      <c r="A45" s="2">
        <v>46271</v>
      </c>
      <c r="B45" t="s">
        <v>153</v>
      </c>
      <c r="C45" t="s">
        <v>23</v>
      </c>
      <c r="D45" t="s">
        <v>147</v>
      </c>
      <c r="E45" t="s">
        <v>147</v>
      </c>
      <c r="F45" t="s">
        <v>19</v>
      </c>
      <c r="G45" t="s">
        <v>25</v>
      </c>
      <c r="H45" t="s">
        <v>111</v>
      </c>
      <c r="J45">
        <v>115107</v>
      </c>
      <c r="K45">
        <v>115353</v>
      </c>
      <c r="L45">
        <f>+Table1[[#This Row],[End KM]]-Table1[[#This Row],[Strat KM]]</f>
        <v>246</v>
      </c>
      <c r="M45">
        <v>267</v>
      </c>
      <c r="P45" s="3">
        <f>IF(O45-N45&gt;TIME(12,0,0),O45-N45-TIME(12,0,0),0)</f>
        <v>0.0</v>
      </c>
    </row>
    <row r="46">
      <c r="A46" s="2">
        <v>46271</v>
      </c>
      <c r="B46" t="s">
        <v>53</v>
      </c>
      <c r="C46" t="s">
        <v>154</v>
      </c>
      <c r="D46" t="s">
        <v>110</v>
      </c>
      <c r="E46" t="s">
        <v>110</v>
      </c>
      <c r="F46" t="s">
        <v>19</v>
      </c>
      <c r="G46" t="s">
        <v>20</v>
      </c>
      <c r="H46" t="s">
        <v>26</v>
      </c>
      <c r="J46">
        <v>288223</v>
      </c>
      <c r="K46">
        <v>288483</v>
      </c>
      <c r="L46">
        <f>+Table1[[#This Row],[End KM]]-Table1[[#This Row],[Strat KM]]</f>
        <v>260</v>
      </c>
      <c r="M46">
        <v>219</v>
      </c>
      <c r="P46" s="3">
        <f>IF(O46-N46&gt;TIME(12,0,0),O46-N46-TIME(12,0,0),0)</f>
        <v>0.0</v>
      </c>
    </row>
    <row r="47">
      <c r="A47" s="2">
        <v>46271</v>
      </c>
      <c r="B47" t="s">
        <v>112</v>
      </c>
      <c r="C47" t="s">
        <v>155</v>
      </c>
      <c r="D47" t="s">
        <v>156</v>
      </c>
      <c r="E47" t="s">
        <v>156</v>
      </c>
      <c r="F47" t="s">
        <v>19</v>
      </c>
      <c r="G47" t="s">
        <v>60</v>
      </c>
      <c r="H47" t="s">
        <v>42</v>
      </c>
      <c r="J47">
        <v>290092</v>
      </c>
      <c r="K47">
        <v>290289</v>
      </c>
      <c r="L47">
        <f>+Table1[[#This Row],[End KM]]-Table1[[#This Row],[Strat KM]]</f>
        <v>197</v>
      </c>
      <c r="M47">
        <v>229</v>
      </c>
      <c r="P47" s="3">
        <f>IF(O47-N47&gt;TIME(12,0,0),O47-N47-TIME(12,0,0),0)</f>
        <v>0.0</v>
      </c>
    </row>
    <row r="48">
      <c r="A48" s="2">
        <v>46271</v>
      </c>
      <c r="B48" t="s">
        <v>139</v>
      </c>
      <c r="C48" t="s">
        <v>69</v>
      </c>
      <c r="D48" t="s">
        <v>157</v>
      </c>
      <c r="E48" t="s">
        <v>75</v>
      </c>
      <c r="F48" t="s">
        <v>30</v>
      </c>
      <c r="G48" t="s">
        <v>99</v>
      </c>
      <c r="H48" t="s">
        <v>76</v>
      </c>
      <c r="I48">
        <v>2</v>
      </c>
      <c r="J48">
        <v>251559</v>
      </c>
      <c r="K48">
        <v>251794</v>
      </c>
      <c r="L48">
        <f>+Table1[[#This Row],[End KM]]-Table1[[#This Row],[Strat KM]]</f>
        <v>235</v>
      </c>
      <c r="M48">
        <v>195</v>
      </c>
      <c r="P48" s="3">
        <f>IF(O48-N48&gt;TIME(12,0,0),O48-N48-TIME(12,0,0),0)</f>
        <v>0.0</v>
      </c>
    </row>
    <row r="49">
      <c r="A49" s="2">
        <v>46271</v>
      </c>
      <c r="B49" t="s">
        <v>56</v>
      </c>
      <c r="C49" t="s">
        <v>54</v>
      </c>
      <c r="D49" t="s">
        <v>58</v>
      </c>
      <c r="E49" t="s">
        <v>103</v>
      </c>
      <c r="F49" t="s">
        <v>30</v>
      </c>
      <c r="G49" t="s">
        <v>99</v>
      </c>
      <c r="H49" t="s">
        <v>158</v>
      </c>
      <c r="I49">
        <v>3</v>
      </c>
      <c r="J49">
        <v>239887</v>
      </c>
      <c r="K49">
        <v>240004</v>
      </c>
      <c r="L49">
        <f>+Table1[[#This Row],[End KM]]-Table1[[#This Row],[Strat KM]]</f>
        <v>117</v>
      </c>
      <c r="M49">
        <v>117</v>
      </c>
      <c r="P49" s="3">
        <f>IF(O49-N49&gt;TIME(12,0,0),O49-N49-TIME(12,0,0),0)</f>
        <v>0.0</v>
      </c>
    </row>
    <row r="50">
      <c r="A50" s="2">
        <v>46271</v>
      </c>
      <c r="B50" t="s">
        <v>159</v>
      </c>
      <c r="C50" t="s">
        <v>160</v>
      </c>
      <c r="D50" t="s">
        <v>74</v>
      </c>
      <c r="E50" t="s">
        <v>75</v>
      </c>
      <c r="F50" t="s">
        <v>30</v>
      </c>
      <c r="G50" t="s">
        <v>143</v>
      </c>
      <c r="H50" t="s">
        <v>37</v>
      </c>
      <c r="I50">
        <v>4</v>
      </c>
      <c r="J50">
        <v>234499</v>
      </c>
      <c r="K50">
        <v>234613</v>
      </c>
      <c r="L50">
        <f>+Table1[[#This Row],[End KM]]-Table1[[#This Row],[Strat KM]]</f>
        <v>114</v>
      </c>
      <c r="M50">
        <v>73</v>
      </c>
      <c r="P50" s="3">
        <f>IF(O50-N50&gt;TIME(12,0,0),O50-N50-TIME(12,0,0),0)</f>
        <v>0.0</v>
      </c>
    </row>
    <row r="51">
      <c r="A51" s="2">
        <v>46271</v>
      </c>
      <c r="B51" t="s">
        <v>161</v>
      </c>
      <c r="C51" t="s">
        <v>123</v>
      </c>
      <c r="D51" t="s">
        <v>78</v>
      </c>
      <c r="E51" t="s">
        <v>162</v>
      </c>
      <c r="F51" t="s">
        <v>30</v>
      </c>
      <c r="G51" t="s">
        <v>36</v>
      </c>
      <c r="H51" t="s">
        <v>163</v>
      </c>
      <c r="I51">
        <v>5</v>
      </c>
      <c r="J51">
        <v>192659</v>
      </c>
      <c r="K51">
        <v>193124</v>
      </c>
      <c r="L51">
        <f>+Table1[[#This Row],[End KM]]-Table1[[#This Row],[Strat KM]]</f>
        <v>465</v>
      </c>
      <c r="M51">
        <v>465</v>
      </c>
      <c r="P51" s="3">
        <f>IF(O51-N51&gt;TIME(12,0,0),O51-N51-TIME(12,0,0),0)</f>
        <v>0.0</v>
      </c>
    </row>
    <row r="52">
      <c r="A52" s="2">
        <v>46272</v>
      </c>
      <c r="B52" t="s">
        <v>24</v>
      </c>
      <c r="C52" t="s">
        <v>101</v>
      </c>
      <c r="D52" t="s">
        <v>50</v>
      </c>
      <c r="E52" t="s">
        <v>50</v>
      </c>
      <c r="F52" t="s">
        <v>19</v>
      </c>
      <c r="G52" t="s">
        <v>88</v>
      </c>
      <c r="H52" t="s">
        <v>37</v>
      </c>
      <c r="J52">
        <v>311600</v>
      </c>
      <c r="K52">
        <v>311852</v>
      </c>
      <c r="L52">
        <f>+Table1[[#This Row],[End KM]]-Table1[[#This Row],[Strat KM]]</f>
        <v>252</v>
      </c>
      <c r="M52">
        <v>252</v>
      </c>
      <c r="P52" s="3">
        <f>IF(O52-N52&gt;TIME(12,0,0),O52-N52-TIME(12,0,0),0)</f>
        <v>0.0</v>
      </c>
    </row>
    <row r="53">
      <c r="A53" s="2">
        <v>46272</v>
      </c>
      <c r="B53" t="s">
        <v>164</v>
      </c>
      <c r="C53" t="s">
        <v>165</v>
      </c>
      <c r="D53" t="s">
        <v>166</v>
      </c>
      <c r="E53" t="s">
        <v>166</v>
      </c>
      <c r="F53" t="s">
        <v>19</v>
      </c>
      <c r="G53" t="s">
        <v>88</v>
      </c>
      <c r="H53" t="s">
        <v>133</v>
      </c>
      <c r="J53">
        <v>141624</v>
      </c>
      <c r="K53">
        <v>141863</v>
      </c>
      <c r="L53">
        <f>+Table1[[#This Row],[End KM]]-Table1[[#This Row],[Strat KM]]</f>
        <v>239</v>
      </c>
      <c r="M53">
        <v>260</v>
      </c>
      <c r="P53" s="3">
        <f>IF(O53-N53&gt;TIME(12,0,0),O53-N53-TIME(12,0,0),0)</f>
        <v>0.0</v>
      </c>
    </row>
    <row r="54">
      <c r="A54" s="2">
        <v>46272</v>
      </c>
      <c r="B54" t="s">
        <v>153</v>
      </c>
      <c r="C54" t="s">
        <v>167</v>
      </c>
      <c r="D54" t="s">
        <v>122</v>
      </c>
      <c r="E54" t="s">
        <v>168</v>
      </c>
      <c r="F54" t="s">
        <v>30</v>
      </c>
      <c r="G54" t="s">
        <v>99</v>
      </c>
      <c r="H54" t="s">
        <v>76</v>
      </c>
      <c r="I54">
        <v>6</v>
      </c>
      <c r="J54">
        <v>233890</v>
      </c>
      <c r="K54">
        <v>234089</v>
      </c>
      <c r="L54">
        <f>+Table1[[#This Row],[End KM]]-Table1[[#This Row],[Strat KM]]</f>
        <v>199</v>
      </c>
      <c r="M54">
        <v>199</v>
      </c>
      <c r="P54" s="3">
        <f>IF(O54-N54&gt;TIME(12,0,0),O54-N54-TIME(12,0,0),0)</f>
        <v>0.0</v>
      </c>
    </row>
    <row r="55">
      <c r="A55" s="2">
        <v>46272</v>
      </c>
      <c r="B55" t="s">
        <v>122</v>
      </c>
      <c r="C55" t="s">
        <v>169</v>
      </c>
      <c r="D55" t="s">
        <v>170</v>
      </c>
      <c r="E55" t="s">
        <v>170</v>
      </c>
      <c r="F55" t="s">
        <v>19</v>
      </c>
      <c r="G55" t="s">
        <v>95</v>
      </c>
      <c r="H55" t="s">
        <v>76</v>
      </c>
      <c r="J55">
        <v>292005</v>
      </c>
      <c r="K55">
        <v>292265</v>
      </c>
      <c r="L55">
        <f>+Table1[[#This Row],[End KM]]-Table1[[#This Row],[Strat KM]]</f>
        <v>260</v>
      </c>
      <c r="M55">
        <v>260</v>
      </c>
      <c r="P55" s="3">
        <f>IF(O55-N55&gt;TIME(12,0,0),O55-N55-TIME(12,0,0),0)</f>
        <v>0.0</v>
      </c>
    </row>
    <row r="56">
      <c r="A56" s="2">
        <v>46272</v>
      </c>
      <c r="B56" t="s">
        <v>142</v>
      </c>
      <c r="C56" t="s">
        <v>34</v>
      </c>
      <c r="D56" t="s">
        <v>72</v>
      </c>
      <c r="E56" t="s">
        <v>103</v>
      </c>
      <c r="F56" t="s">
        <v>30</v>
      </c>
      <c r="G56" t="s">
        <v>88</v>
      </c>
      <c r="H56" t="s">
        <v>111</v>
      </c>
      <c r="I56">
        <v>7</v>
      </c>
      <c r="J56">
        <v>218176</v>
      </c>
      <c r="K56">
        <v>218647</v>
      </c>
      <c r="L56">
        <f>+Table1[[#This Row],[End KM]]-Table1[[#This Row],[Strat KM]]</f>
        <v>471</v>
      </c>
      <c r="M56">
        <v>471</v>
      </c>
      <c r="P56" s="3">
        <f>IF(O56-N56&gt;TIME(12,0,0),O56-N56-TIME(12,0,0),0)</f>
        <v>0.0</v>
      </c>
    </row>
    <row r="57">
      <c r="A57" s="2">
        <v>46272</v>
      </c>
      <c r="B57" t="s">
        <v>126</v>
      </c>
      <c r="C57" t="s">
        <v>171</v>
      </c>
      <c r="D57" t="s">
        <v>40</v>
      </c>
      <c r="E57" t="s">
        <v>40</v>
      </c>
      <c r="F57" t="s">
        <v>19</v>
      </c>
      <c r="G57" t="s">
        <v>60</v>
      </c>
      <c r="H57" t="s">
        <v>76</v>
      </c>
      <c r="J57">
        <v>61524</v>
      </c>
      <c r="K57">
        <v>61779</v>
      </c>
      <c r="L57">
        <f>+Table1[[#This Row],[End KM]]-Table1[[#This Row],[Strat KM]]</f>
        <v>255</v>
      </c>
      <c r="M57">
        <v>255</v>
      </c>
      <c r="P57" s="3">
        <f>IF(O57-N57&gt;TIME(12,0,0),O57-N57-TIME(12,0,0),0)</f>
        <v>0.0</v>
      </c>
    </row>
    <row r="58">
      <c r="A58" s="2">
        <v>46272</v>
      </c>
      <c r="B58" t="s">
        <v>172</v>
      </c>
      <c r="C58" t="s">
        <v>113</v>
      </c>
      <c r="D58" t="s">
        <v>164</v>
      </c>
      <c r="E58" t="s">
        <v>164</v>
      </c>
      <c r="F58" t="s">
        <v>19</v>
      </c>
      <c r="G58" t="s">
        <v>51</v>
      </c>
      <c r="H58" t="s">
        <v>76</v>
      </c>
      <c r="L58">
        <f>+Table1[[#This Row],[End KM]]-Table1[[#This Row],[Strat KM]]</f>
        <v>0</v>
      </c>
      <c r="P58" s="3">
        <f>IF(O58-N58&gt;TIME(12,0,0),O58-N58-TIME(12,0,0),0)</f>
        <v>0.0</v>
      </c>
    </row>
    <row r="59">
      <c r="A59" s="2">
        <v>46272</v>
      </c>
      <c r="B59" t="s">
        <v>48</v>
      </c>
      <c r="C59" t="s">
        <v>77</v>
      </c>
      <c r="D59" t="s">
        <v>50</v>
      </c>
      <c r="E59" t="s">
        <v>50</v>
      </c>
      <c r="F59" t="s">
        <v>19</v>
      </c>
      <c r="G59" t="s">
        <v>152</v>
      </c>
      <c r="H59" t="s">
        <v>21</v>
      </c>
      <c r="J59">
        <v>281193</v>
      </c>
      <c r="K59">
        <v>281613</v>
      </c>
      <c r="L59">
        <f>+Table1[[#This Row],[End KM]]-Table1[[#This Row],[Strat KM]]</f>
        <v>420</v>
      </c>
      <c r="M59">
        <v>379</v>
      </c>
      <c r="P59" s="3">
        <f>IF(O59-N59&gt;TIME(12,0,0),O59-N59-TIME(12,0,0),0)</f>
        <v>0.0</v>
      </c>
    </row>
    <row r="60">
      <c r="A60" s="2">
        <v>46272</v>
      </c>
      <c r="B60" t="s">
        <v>142</v>
      </c>
      <c r="C60" t="s">
        <v>109</v>
      </c>
      <c r="D60" t="s">
        <v>173</v>
      </c>
      <c r="E60" t="s">
        <v>173</v>
      </c>
      <c r="F60" t="s">
        <v>19</v>
      </c>
      <c r="G60" t="s">
        <v>152</v>
      </c>
      <c r="H60" t="s">
        <v>37</v>
      </c>
      <c r="J60">
        <v>153875</v>
      </c>
      <c r="K60">
        <v>154086</v>
      </c>
      <c r="L60">
        <f>+Table1[[#This Row],[End KM]]-Table1[[#This Row],[Strat KM]]</f>
        <v>211</v>
      </c>
      <c r="M60">
        <v>179</v>
      </c>
      <c r="P60" s="3">
        <f>IF(O60-N60&gt;TIME(12,0,0),O60-N60-TIME(12,0,0),0)</f>
        <v>0.0</v>
      </c>
    </row>
    <row r="61">
      <c r="A61" s="2">
        <v>46272</v>
      </c>
      <c r="B61" t="s">
        <v>174</v>
      </c>
      <c r="C61" t="s">
        <v>138</v>
      </c>
      <c r="D61" t="s">
        <v>175</v>
      </c>
      <c r="E61" t="s">
        <v>103</v>
      </c>
      <c r="F61" t="s">
        <v>30</v>
      </c>
      <c r="G61" t="s">
        <v>64</v>
      </c>
      <c r="H61" t="s">
        <v>176</v>
      </c>
      <c r="I61">
        <v>1</v>
      </c>
      <c r="J61">
        <v>136155</v>
      </c>
      <c r="K61">
        <v>136622</v>
      </c>
      <c r="L61">
        <f>+Table1[[#This Row],[End KM]]-Table1[[#This Row],[Strat KM]]</f>
        <v>467</v>
      </c>
      <c r="M61">
        <v>467</v>
      </c>
      <c r="P61" s="3">
        <f>IF(O61-N61&gt;TIME(12,0,0),O61-N61-TIME(12,0,0),0)</f>
        <v>0.0</v>
      </c>
    </row>
    <row r="62">
      <c r="A62" s="2">
        <v>46273</v>
      </c>
      <c r="B62" t="s">
        <v>164</v>
      </c>
      <c r="C62" t="s">
        <v>171</v>
      </c>
      <c r="D62" t="s">
        <v>98</v>
      </c>
      <c r="E62" t="s">
        <v>103</v>
      </c>
      <c r="F62" t="s">
        <v>30</v>
      </c>
      <c r="G62" t="s">
        <v>60</v>
      </c>
      <c r="H62" t="s">
        <v>177</v>
      </c>
      <c r="I62">
        <v>2</v>
      </c>
      <c r="J62">
        <v>61776</v>
      </c>
      <c r="K62">
        <v>62251</v>
      </c>
      <c r="L62">
        <f>+Table1[[#This Row],[End KM]]-Table1[[#This Row],[Strat KM]]</f>
        <v>475</v>
      </c>
      <c r="M62">
        <v>422</v>
      </c>
      <c r="P62" s="3">
        <f>IF(O62-N62&gt;TIME(12,0,0),O62-N62-TIME(12,0,0),0)</f>
        <v>0.0</v>
      </c>
    </row>
    <row r="63">
      <c r="A63" s="2">
        <v>46273</v>
      </c>
      <c r="B63" t="s">
        <v>178</v>
      </c>
      <c r="C63" t="s">
        <v>167</v>
      </c>
      <c r="D63" t="s">
        <v>40</v>
      </c>
      <c r="E63" t="s">
        <v>40</v>
      </c>
      <c r="F63" t="s">
        <v>19</v>
      </c>
      <c r="G63" t="s">
        <v>36</v>
      </c>
      <c r="H63" t="s">
        <v>179</v>
      </c>
      <c r="J63">
        <v>234099</v>
      </c>
      <c r="K63">
        <v>234364</v>
      </c>
      <c r="L63">
        <f>+Table1[[#This Row],[End KM]]-Table1[[#This Row],[Strat KM]]</f>
        <v>265</v>
      </c>
      <c r="M63">
        <v>265</v>
      </c>
      <c r="P63" s="3">
        <f>IF(O63-N63&gt;TIME(12,0,0),O63-N63-TIME(12,0,0),0)</f>
        <v>0.0</v>
      </c>
    </row>
    <row r="64">
      <c r="A64" s="2">
        <v>46273</v>
      </c>
      <c r="B64" t="s">
        <v>139</v>
      </c>
      <c r="C64" t="s">
        <v>113</v>
      </c>
      <c r="D64" t="s">
        <v>166</v>
      </c>
      <c r="E64" t="s">
        <v>180</v>
      </c>
      <c r="F64" t="s">
        <v>30</v>
      </c>
      <c r="G64" t="s">
        <v>144</v>
      </c>
      <c r="H64" t="s">
        <v>181</v>
      </c>
      <c r="I64">
        <v>3</v>
      </c>
      <c r="J64">
        <v>74533</v>
      </c>
      <c r="K64">
        <v>74745</v>
      </c>
      <c r="L64">
        <f>+Table1[[#This Row],[End KM]]-Table1[[#This Row],[Strat KM]]</f>
        <v>212</v>
      </c>
      <c r="M64">
        <v>212</v>
      </c>
      <c r="P64" s="3">
        <f>IF(O64-N64&gt;TIME(12,0,0),O64-N64-TIME(12,0,0),0)</f>
        <v>0.0</v>
      </c>
    </row>
    <row r="65">
      <c r="A65" s="2">
        <v>46273</v>
      </c>
      <c r="B65" t="s">
        <v>174</v>
      </c>
      <c r="C65" t="s">
        <v>82</v>
      </c>
      <c r="D65" t="s">
        <v>66</v>
      </c>
      <c r="E65" t="s">
        <v>66</v>
      </c>
      <c r="F65" t="s">
        <v>19</v>
      </c>
      <c r="G65" t="s">
        <v>67</v>
      </c>
      <c r="H65" t="s">
        <v>182</v>
      </c>
      <c r="J65">
        <v>195671</v>
      </c>
      <c r="K65">
        <v>195880</v>
      </c>
      <c r="L65">
        <f>+Table1[[#This Row],[End KM]]-Table1[[#This Row],[Strat KM]]</f>
        <v>209</v>
      </c>
      <c r="M65">
        <v>168</v>
      </c>
      <c r="P65" s="3">
        <f>IF(O65-N65&gt;TIME(12,0,0),O65-N65-TIME(12,0,0),0)</f>
        <v>0.0</v>
      </c>
    </row>
    <row r="66">
      <c r="A66" s="2">
        <v>46273</v>
      </c>
      <c r="B66" t="s">
        <v>183</v>
      </c>
      <c r="C66" t="s">
        <v>184</v>
      </c>
      <c r="D66" t="s">
        <v>122</v>
      </c>
      <c r="E66" t="s">
        <v>103</v>
      </c>
      <c r="F66" t="s">
        <v>30</v>
      </c>
      <c r="G66" t="s">
        <v>92</v>
      </c>
      <c r="H66" t="s">
        <v>185</v>
      </c>
      <c r="I66">
        <v>4</v>
      </c>
      <c r="L66">
        <f>+Table1[[#This Row],[End KM]]-Table1[[#This Row],[Strat KM]]</f>
        <v>0</v>
      </c>
      <c r="P66" s="3">
        <f>IF(O66-N66&gt;TIME(12,0,0),O66-N66-TIME(12,0,0),0)</f>
        <v>0.0</v>
      </c>
    </row>
    <row r="67">
      <c r="A67" s="2">
        <v>46273</v>
      </c>
      <c r="B67" t="s">
        <v>132</v>
      </c>
      <c r="C67" t="s">
        <v>23</v>
      </c>
      <c r="D67" t="s">
        <v>166</v>
      </c>
      <c r="E67" t="s">
        <v>174</v>
      </c>
      <c r="F67" t="s">
        <v>30</v>
      </c>
      <c r="G67" t="s">
        <v>106</v>
      </c>
      <c r="H67" t="s">
        <v>32</v>
      </c>
      <c r="I67">
        <v>5</v>
      </c>
      <c r="J67">
        <v>115353</v>
      </c>
      <c r="K67">
        <v>115561</v>
      </c>
      <c r="L67">
        <f>+Table1[[#This Row],[End KM]]-Table1[[#This Row],[Strat KM]]</f>
        <v>208</v>
      </c>
      <c r="M67">
        <v>208</v>
      </c>
      <c r="P67" s="3">
        <f>IF(O67-N67&gt;TIME(12,0,0),O67-N67-TIME(12,0,0),0)</f>
        <v>0.0</v>
      </c>
    </row>
    <row r="68">
      <c r="A68" s="2">
        <v>46273</v>
      </c>
      <c r="B68" t="s">
        <v>132</v>
      </c>
      <c r="C68" t="s">
        <v>63</v>
      </c>
      <c r="D68" t="s">
        <v>85</v>
      </c>
      <c r="E68" t="s">
        <v>85</v>
      </c>
      <c r="F68" t="s">
        <v>19</v>
      </c>
      <c r="G68" t="s">
        <v>46</v>
      </c>
      <c r="H68" t="s">
        <v>186</v>
      </c>
      <c r="J68">
        <v>169914</v>
      </c>
      <c r="K68">
        <v>170143</v>
      </c>
      <c r="L68">
        <f>+Table1[[#This Row],[End KM]]-Table1[[#This Row],[Strat KM]]</f>
        <v>229</v>
      </c>
      <c r="M68">
        <v>229</v>
      </c>
      <c r="P68" s="3">
        <f>IF(O68-N68&gt;TIME(12,0,0),O68-N68-TIME(12,0,0),0)</f>
        <v>0.0</v>
      </c>
    </row>
    <row r="69">
      <c r="A69" s="2">
        <v>46273</v>
      </c>
      <c r="B69" t="s">
        <v>159</v>
      </c>
      <c r="C69" t="s">
        <v>169</v>
      </c>
      <c r="D69" t="s">
        <v>124</v>
      </c>
      <c r="E69" t="s">
        <v>124</v>
      </c>
      <c r="F69" t="s">
        <v>19</v>
      </c>
      <c r="G69" t="s">
        <v>144</v>
      </c>
      <c r="H69" t="s">
        <v>93</v>
      </c>
      <c r="J69">
        <v>292265</v>
      </c>
      <c r="K69">
        <v>292681</v>
      </c>
      <c r="L69">
        <f>+Table1[[#This Row],[End KM]]-Table1[[#This Row],[Strat KM]]</f>
        <v>416</v>
      </c>
      <c r="M69">
        <v>416</v>
      </c>
      <c r="P69" s="3">
        <f>IF(O69-N69&gt;TIME(12,0,0),O69-N69-TIME(12,0,0),0)</f>
        <v>0.0</v>
      </c>
    </row>
    <row r="70">
      <c r="A70" s="2">
        <v>46273</v>
      </c>
      <c r="B70" t="s">
        <v>53</v>
      </c>
      <c r="C70" t="s">
        <v>44</v>
      </c>
      <c r="D70" t="s">
        <v>187</v>
      </c>
      <c r="E70" t="s">
        <v>188</v>
      </c>
      <c r="F70" t="s">
        <v>30</v>
      </c>
      <c r="G70" t="s">
        <v>152</v>
      </c>
      <c r="H70" t="s">
        <v>93</v>
      </c>
      <c r="I70">
        <v>6</v>
      </c>
      <c r="J70">
        <v>311986</v>
      </c>
      <c r="K70">
        <v>312418</v>
      </c>
      <c r="L70">
        <f>+Table1[[#This Row],[End KM]]-Table1[[#This Row],[Strat KM]]</f>
        <v>432</v>
      </c>
      <c r="M70">
        <v>225</v>
      </c>
      <c r="P70" s="3">
        <f>IF(O70-N70&gt;TIME(12,0,0),O70-N70-TIME(12,0,0),0)</f>
        <v>0.0</v>
      </c>
    </row>
    <row r="71">
      <c r="A71" s="2">
        <v>46273</v>
      </c>
      <c r="B71" t="s">
        <v>142</v>
      </c>
      <c r="C71" t="s">
        <v>109</v>
      </c>
      <c r="D71" t="s">
        <v>58</v>
      </c>
      <c r="E71" t="s">
        <v>83</v>
      </c>
      <c r="F71" t="s">
        <v>30</v>
      </c>
      <c r="G71" t="s">
        <v>20</v>
      </c>
      <c r="H71" t="s">
        <v>148</v>
      </c>
      <c r="I71">
        <v>7</v>
      </c>
      <c r="J71">
        <v>154086</v>
      </c>
      <c r="K71">
        <v>154342</v>
      </c>
      <c r="L71">
        <f>+Table1[[#This Row],[End KM]]-Table1[[#This Row],[Strat KM]]</f>
        <v>256</v>
      </c>
      <c r="M71">
        <v>277</v>
      </c>
      <c r="P71" s="3">
        <f>IF(O71-N71&gt;TIME(12,0,0),O71-N71-TIME(12,0,0),0)</f>
        <v>0.0</v>
      </c>
    </row>
    <row r="72">
      <c r="A72" s="2">
        <v>46274</v>
      </c>
      <c r="B72" t="s">
        <v>72</v>
      </c>
      <c r="C72" t="s">
        <v>189</v>
      </c>
      <c r="D72" t="s">
        <v>85</v>
      </c>
      <c r="E72" t="s">
        <v>85</v>
      </c>
      <c r="F72" t="s">
        <v>19</v>
      </c>
      <c r="G72" t="s">
        <v>99</v>
      </c>
      <c r="H72" t="s">
        <v>107</v>
      </c>
      <c r="J72">
        <v>247244</v>
      </c>
      <c r="K72">
        <v>247470</v>
      </c>
      <c r="L72">
        <f>+Table1[[#This Row],[End KM]]-Table1[[#This Row],[Strat KM]]</f>
        <v>226</v>
      </c>
      <c r="M72">
        <v>226</v>
      </c>
      <c r="P72" s="3">
        <f>IF(O72-N72&gt;TIME(12,0,0),O72-N72-TIME(12,0,0),0)</f>
        <v>0.0</v>
      </c>
    </row>
    <row r="73">
      <c r="A73" s="2">
        <v>46274</v>
      </c>
      <c r="B73" t="s">
        <v>172</v>
      </c>
      <c r="C73" t="s">
        <v>155</v>
      </c>
      <c r="D73" t="s">
        <v>98</v>
      </c>
      <c r="E73" t="s">
        <v>190</v>
      </c>
      <c r="F73" t="s">
        <v>30</v>
      </c>
      <c r="G73" t="s">
        <v>80</v>
      </c>
      <c r="H73" t="s">
        <v>107</v>
      </c>
      <c r="I73">
        <v>1</v>
      </c>
      <c r="J73">
        <v>290289</v>
      </c>
      <c r="K73">
        <v>290507</v>
      </c>
      <c r="L73">
        <f>+Table1[[#This Row],[End KM]]-Table1[[#This Row],[Strat KM]]</f>
        <v>218</v>
      </c>
      <c r="M73">
        <v>218</v>
      </c>
      <c r="P73" s="3">
        <f>IF(O73-N73&gt;TIME(12,0,0),O73-N73-TIME(12,0,0),0)</f>
        <v>0.0</v>
      </c>
    </row>
    <row r="74">
      <c r="A74" s="2">
        <v>46274</v>
      </c>
      <c r="B74" t="s">
        <v>183</v>
      </c>
      <c r="C74" t="s">
        <v>113</v>
      </c>
      <c r="D74" t="s">
        <v>122</v>
      </c>
      <c r="E74" t="s">
        <v>191</v>
      </c>
      <c r="F74" t="s">
        <v>30</v>
      </c>
      <c r="G74" t="s">
        <v>36</v>
      </c>
      <c r="H74" t="s">
        <v>192</v>
      </c>
      <c r="I74">
        <v>2</v>
      </c>
      <c r="J74">
        <v>74795</v>
      </c>
      <c r="K74">
        <v>75021</v>
      </c>
      <c r="L74">
        <f>+Table1[[#This Row],[End KM]]-Table1[[#This Row],[Strat KM]]</f>
        <v>226</v>
      </c>
      <c r="M74">
        <v>226</v>
      </c>
      <c r="P74" s="3">
        <f>IF(O74-N74&gt;TIME(12,0,0),O74-N74-TIME(12,0,0),0)</f>
        <v>0.0</v>
      </c>
    </row>
    <row r="75">
      <c r="A75" s="2">
        <v>46274</v>
      </c>
      <c r="B75" t="s">
        <v>38</v>
      </c>
      <c r="C75" t="s">
        <v>140</v>
      </c>
      <c r="D75" t="s">
        <v>74</v>
      </c>
      <c r="E75" t="s">
        <v>74</v>
      </c>
      <c r="F75" t="s">
        <v>19</v>
      </c>
      <c r="G75" t="s">
        <v>88</v>
      </c>
      <c r="H75" t="s">
        <v>179</v>
      </c>
      <c r="J75">
        <v>277713</v>
      </c>
      <c r="K75">
        <v>277983</v>
      </c>
      <c r="L75">
        <f>+Table1[[#This Row],[End KM]]-Table1[[#This Row],[Strat KM]]</f>
        <v>270</v>
      </c>
      <c r="M75">
        <v>238</v>
      </c>
      <c r="P75" s="3">
        <f>IF(O75-N75&gt;TIME(12,0,0),O75-N75-TIME(12,0,0),0)</f>
        <v>0.0</v>
      </c>
    </row>
    <row r="76">
      <c r="A76" s="2">
        <v>46274</v>
      </c>
      <c r="B76" t="s">
        <v>178</v>
      </c>
      <c r="C76" t="s">
        <v>193</v>
      </c>
      <c r="D76" t="s">
        <v>72</v>
      </c>
      <c r="E76" t="s">
        <v>72</v>
      </c>
      <c r="F76" t="s">
        <v>19</v>
      </c>
      <c r="G76" t="s">
        <v>80</v>
      </c>
      <c r="H76" t="s">
        <v>194</v>
      </c>
      <c r="J76">
        <v>181503</v>
      </c>
      <c r="K76">
        <v>181730</v>
      </c>
      <c r="L76">
        <f>+Table1[[#This Row],[End KM]]-Table1[[#This Row],[Strat KM]]</f>
        <v>227</v>
      </c>
      <c r="M76">
        <v>227</v>
      </c>
      <c r="P76" s="3">
        <f>IF(O76-N76&gt;TIME(12,0,0),O76-N76-TIME(12,0,0),0)</f>
        <v>0.0</v>
      </c>
    </row>
    <row r="77">
      <c r="A77" s="2">
        <v>46274</v>
      </c>
      <c r="B77" t="s">
        <v>56</v>
      </c>
      <c r="C77" t="s">
        <v>77</v>
      </c>
      <c r="D77" t="s">
        <v>121</v>
      </c>
      <c r="E77" t="s">
        <v>121</v>
      </c>
      <c r="F77" t="s">
        <v>19</v>
      </c>
      <c r="G77" t="s">
        <v>80</v>
      </c>
      <c r="H77" t="s">
        <v>37</v>
      </c>
      <c r="J77">
        <v>281663</v>
      </c>
      <c r="K77">
        <v>281778</v>
      </c>
      <c r="L77">
        <f>+Table1[[#This Row],[End KM]]-Table1[[#This Row],[Strat KM]]</f>
        <v>115</v>
      </c>
      <c r="M77">
        <v>115</v>
      </c>
      <c r="P77" s="3">
        <f>IF(O77-N77&gt;TIME(12,0,0),O77-N77-TIME(12,0,0),0)</f>
        <v>0.0</v>
      </c>
    </row>
    <row r="78">
      <c r="A78" s="2">
        <v>46274</v>
      </c>
      <c r="B78" t="s">
        <v>153</v>
      </c>
      <c r="C78" t="s">
        <v>82</v>
      </c>
      <c r="D78" t="s">
        <v>195</v>
      </c>
      <c r="E78" t="s">
        <v>195</v>
      </c>
      <c r="F78" t="s">
        <v>19</v>
      </c>
      <c r="G78" t="s">
        <v>152</v>
      </c>
      <c r="H78" t="s">
        <v>196</v>
      </c>
      <c r="J78">
        <v>195880</v>
      </c>
      <c r="K78">
        <v>196137</v>
      </c>
      <c r="L78">
        <f>+Table1[[#This Row],[End KM]]-Table1[[#This Row],[Strat KM]]</f>
        <v>257</v>
      </c>
      <c r="M78">
        <v>217</v>
      </c>
      <c r="P78" s="3">
        <f>IF(O78-N78&gt;TIME(12,0,0),O78-N78-TIME(12,0,0),0)</f>
        <v>0.0</v>
      </c>
    </row>
    <row r="79">
      <c r="A79" s="2">
        <v>46274</v>
      </c>
      <c r="B79" t="s">
        <v>164</v>
      </c>
      <c r="C79" t="s">
        <v>151</v>
      </c>
      <c r="D79" t="s">
        <v>197</v>
      </c>
      <c r="E79" t="s">
        <v>198</v>
      </c>
      <c r="F79" t="s">
        <v>30</v>
      </c>
      <c r="G79" t="s">
        <v>64</v>
      </c>
      <c r="H79" t="s">
        <v>76</v>
      </c>
      <c r="I79">
        <v>3</v>
      </c>
      <c r="J79">
        <v>286072</v>
      </c>
      <c r="K79">
        <v>286284</v>
      </c>
      <c r="L79">
        <f>+Table1[[#This Row],[End KM]]-Table1[[#This Row],[Strat KM]]</f>
        <v>212</v>
      </c>
      <c r="M79">
        <v>212</v>
      </c>
      <c r="P79" s="3">
        <f>IF(O79-N79&gt;TIME(12,0,0),O79-N79-TIME(12,0,0),0)</f>
        <v>0.0</v>
      </c>
    </row>
    <row r="80">
      <c r="A80" s="2">
        <v>46274</v>
      </c>
      <c r="B80" t="s">
        <v>112</v>
      </c>
      <c r="C80" t="s">
        <v>39</v>
      </c>
      <c r="D80" t="s">
        <v>199</v>
      </c>
      <c r="E80" t="s">
        <v>199</v>
      </c>
      <c r="F80" t="s">
        <v>19</v>
      </c>
      <c r="G80" t="s">
        <v>99</v>
      </c>
      <c r="H80" t="s">
        <v>200</v>
      </c>
      <c r="J80">
        <v>180788</v>
      </c>
      <c r="K80">
        <v>180971</v>
      </c>
      <c r="L80">
        <f>+Table1[[#This Row],[End KM]]-Table1[[#This Row],[Strat KM]]</f>
        <v>183</v>
      </c>
      <c r="M80">
        <v>146</v>
      </c>
      <c r="P80" s="3">
        <f>IF(O80-N80&gt;TIME(12,0,0),O80-N80-TIME(12,0,0),0)</f>
        <v>0.0</v>
      </c>
    </row>
    <row r="81">
      <c r="A81" s="2">
        <v>46274</v>
      </c>
      <c r="B81" t="s">
        <v>201</v>
      </c>
      <c r="C81" t="s">
        <v>167</v>
      </c>
      <c r="D81" t="s">
        <v>24</v>
      </c>
      <c r="E81" t="s">
        <v>24</v>
      </c>
      <c r="F81" t="s">
        <v>19</v>
      </c>
      <c r="G81" t="s">
        <v>60</v>
      </c>
      <c r="H81" t="s">
        <v>202</v>
      </c>
      <c r="J81">
        <v>234364</v>
      </c>
      <c r="K81">
        <v>234486</v>
      </c>
      <c r="L81">
        <f>+Table1[[#This Row],[End KM]]-Table1[[#This Row],[Strat KM]]</f>
        <v>122</v>
      </c>
      <c r="M81">
        <v>122</v>
      </c>
      <c r="P81" s="3">
        <f>IF(O81-N81&gt;TIME(12,0,0),O81-N81-TIME(12,0,0),0)</f>
        <v>0.0</v>
      </c>
    </row>
    <row r="82">
      <c r="A82" s="2">
        <v>46275</v>
      </c>
      <c r="B82" t="s">
        <v>135</v>
      </c>
      <c r="C82" t="s">
        <v>123</v>
      </c>
      <c r="D82" t="s">
        <v>162</v>
      </c>
      <c r="E82" t="s">
        <v>162</v>
      </c>
      <c r="F82" t="s">
        <v>19</v>
      </c>
      <c r="G82" t="s">
        <v>31</v>
      </c>
      <c r="H82" t="s">
        <v>76</v>
      </c>
      <c r="L82">
        <f>+Table1[[#This Row],[End KM]]-Table1[[#This Row],[Strat KM]]</f>
        <v>0</v>
      </c>
      <c r="P82" s="3">
        <f>IF(O82-N82&gt;TIME(12,0,0),O82-N82-TIME(12,0,0),0)</f>
        <v>0.0</v>
      </c>
    </row>
    <row r="83">
      <c r="A83" s="2">
        <v>46275</v>
      </c>
      <c r="B83" t="s">
        <v>172</v>
      </c>
      <c r="C83" t="s">
        <v>97</v>
      </c>
      <c r="D83" t="s">
        <v>174</v>
      </c>
      <c r="E83" t="s">
        <v>174</v>
      </c>
      <c r="F83" t="s">
        <v>19</v>
      </c>
      <c r="G83" t="s">
        <v>31</v>
      </c>
      <c r="H83" t="s">
        <v>194</v>
      </c>
      <c r="J83">
        <v>126462</v>
      </c>
      <c r="K83">
        <v>126587</v>
      </c>
      <c r="L83">
        <f>+Table1[[#This Row],[End KM]]-Table1[[#This Row],[Strat KM]]</f>
        <v>125</v>
      </c>
      <c r="M83">
        <v>146</v>
      </c>
      <c r="P83" s="3">
        <f>IF(O83-N83&gt;TIME(12,0,0),O83-N83-TIME(12,0,0),0)</f>
        <v>0.0</v>
      </c>
    </row>
    <row r="84">
      <c r="A84" s="2">
        <v>46275</v>
      </c>
      <c r="B84" t="s">
        <v>22</v>
      </c>
      <c r="C84" t="s">
        <v>169</v>
      </c>
      <c r="D84" t="s">
        <v>187</v>
      </c>
      <c r="E84" t="s">
        <v>75</v>
      </c>
      <c r="F84" t="s">
        <v>30</v>
      </c>
      <c r="G84" t="s">
        <v>144</v>
      </c>
      <c r="H84" t="s">
        <v>203</v>
      </c>
      <c r="I84">
        <v>4</v>
      </c>
      <c r="J84">
        <v>292681</v>
      </c>
      <c r="K84">
        <v>292890</v>
      </c>
      <c r="L84">
        <f>+Table1[[#This Row],[End KM]]-Table1[[#This Row],[Strat KM]]</f>
        <v>209</v>
      </c>
      <c r="M84">
        <v>209</v>
      </c>
      <c r="P84" s="3">
        <f>IF(O84-N84&gt;TIME(12,0,0),O84-N84-TIME(12,0,0),0)</f>
        <v>0.0</v>
      </c>
    </row>
    <row r="85">
      <c r="A85" s="2">
        <v>46275</v>
      </c>
      <c r="B85" t="s">
        <v>135</v>
      </c>
      <c r="C85" t="s">
        <v>23</v>
      </c>
      <c r="D85" t="s">
        <v>110</v>
      </c>
      <c r="E85" t="s">
        <v>204</v>
      </c>
      <c r="F85" t="s">
        <v>30</v>
      </c>
      <c r="G85" t="s">
        <v>67</v>
      </c>
      <c r="H85" t="s">
        <v>37</v>
      </c>
      <c r="I85">
        <v>5</v>
      </c>
      <c r="J85">
        <v>115538</v>
      </c>
      <c r="K85">
        <v>115682</v>
      </c>
      <c r="L85">
        <f>+Table1[[#This Row],[End KM]]-Table1[[#This Row],[Strat KM]]</f>
        <v>144</v>
      </c>
      <c r="M85">
        <v>81</v>
      </c>
      <c r="P85" s="3">
        <f>IF(O85-N85&gt;TIME(12,0,0),O85-N85-TIME(12,0,0),0)</f>
        <v>0.0</v>
      </c>
    </row>
    <row r="86">
      <c r="A86" s="2">
        <v>46275</v>
      </c>
      <c r="B86" t="s">
        <v>132</v>
      </c>
      <c r="D86" t="s">
        <v>132</v>
      </c>
      <c r="E86" t="s">
        <v>132</v>
      </c>
      <c r="F86" t="s">
        <v>19</v>
      </c>
      <c r="G86" t="s">
        <v>64</v>
      </c>
      <c r="H86" t="s">
        <v>37</v>
      </c>
      <c r="J86">
        <v>288493</v>
      </c>
      <c r="K86">
        <v>288921</v>
      </c>
      <c r="L86">
        <f>+Table1[[#This Row],[End KM]]-Table1[[#This Row],[Strat KM]]</f>
        <v>428</v>
      </c>
      <c r="M86">
        <v>428</v>
      </c>
      <c r="P86" s="3">
        <f>IF(O86-N86&gt;TIME(12,0,0),O86-N86-TIME(12,0,0),0)</f>
        <v>0.0</v>
      </c>
    </row>
    <row r="87">
      <c r="A87" s="2">
        <v>46275</v>
      </c>
      <c r="B87" t="s">
        <v>122</v>
      </c>
      <c r="C87" t="s">
        <v>49</v>
      </c>
      <c r="D87" t="s">
        <v>87</v>
      </c>
      <c r="E87" t="s">
        <v>103</v>
      </c>
      <c r="F87" t="s">
        <v>30</v>
      </c>
      <c r="G87" t="s">
        <v>80</v>
      </c>
      <c r="H87" t="s">
        <v>37</v>
      </c>
      <c r="I87">
        <v>6</v>
      </c>
      <c r="J87">
        <v>132458</v>
      </c>
      <c r="K87">
        <v>132700</v>
      </c>
      <c r="L87">
        <f>+Table1[[#This Row],[End KM]]-Table1[[#This Row],[Strat KM]]</f>
        <v>242</v>
      </c>
      <c r="M87">
        <v>242</v>
      </c>
      <c r="P87" s="3">
        <f>IF(O87-N87&gt;TIME(12,0,0),O87-N87-TIME(12,0,0),0)</f>
        <v>0.0</v>
      </c>
    </row>
    <row r="88">
      <c r="A88" s="2">
        <v>46275</v>
      </c>
      <c r="B88" t="s">
        <v>33</v>
      </c>
      <c r="C88" t="s">
        <v>205</v>
      </c>
      <c r="D88" t="s">
        <v>136</v>
      </c>
      <c r="E88" t="s">
        <v>136</v>
      </c>
      <c r="F88" t="s">
        <v>19</v>
      </c>
      <c r="G88" t="s">
        <v>152</v>
      </c>
      <c r="H88" t="s">
        <v>76</v>
      </c>
      <c r="J88">
        <v>173718</v>
      </c>
      <c r="K88">
        <v>174133</v>
      </c>
      <c r="L88">
        <f>+Table1[[#This Row],[End KM]]-Table1[[#This Row],[Strat KM]]</f>
        <v>415</v>
      </c>
      <c r="M88">
        <v>415</v>
      </c>
      <c r="P88" s="3">
        <f>IF(O88-N88&gt;TIME(12,0,0),O88-N88-TIME(12,0,0),0)</f>
        <v>0.0</v>
      </c>
    </row>
    <row r="89">
      <c r="A89" s="2">
        <v>46275</v>
      </c>
      <c r="B89" t="s">
        <v>22</v>
      </c>
      <c r="D89" t="s">
        <v>173</v>
      </c>
      <c r="E89" t="s">
        <v>173</v>
      </c>
      <c r="F89" t="s">
        <v>19</v>
      </c>
      <c r="G89" t="s">
        <v>143</v>
      </c>
      <c r="H89" t="s">
        <v>206</v>
      </c>
      <c r="J89">
        <v>62251</v>
      </c>
      <c r="K89">
        <v>62364</v>
      </c>
      <c r="L89">
        <f>+Table1[[#This Row],[End KM]]-Table1[[#This Row],[Strat KM]]</f>
        <v>113</v>
      </c>
      <c r="M89">
        <v>145</v>
      </c>
      <c r="P89" s="3">
        <f>IF(O89-N89&gt;TIME(12,0,0),O89-N89-TIME(12,0,0),0)</f>
        <v>0.0</v>
      </c>
    </row>
    <row r="90">
      <c r="A90" s="2">
        <v>46275</v>
      </c>
      <c r="B90" t="s">
        <v>207</v>
      </c>
      <c r="C90" t="s">
        <v>140</v>
      </c>
      <c r="D90" t="s">
        <v>43</v>
      </c>
      <c r="E90" t="s">
        <v>131</v>
      </c>
      <c r="F90" t="s">
        <v>30</v>
      </c>
      <c r="G90" t="s">
        <v>51</v>
      </c>
      <c r="H90" t="s">
        <v>76</v>
      </c>
      <c r="I90">
        <v>7</v>
      </c>
      <c r="J90">
        <v>277983</v>
      </c>
      <c r="K90">
        <v>278188</v>
      </c>
      <c r="L90">
        <f>+Table1[[#This Row],[End KM]]-Table1[[#This Row],[Strat KM]]</f>
        <v>205</v>
      </c>
      <c r="M90">
        <v>205</v>
      </c>
      <c r="P90" s="3">
        <f>IF(O90-N90&gt;TIME(12,0,0),O90-N90-TIME(12,0,0),0)</f>
        <v>0.0</v>
      </c>
    </row>
    <row r="91">
      <c r="A91" s="2">
        <v>46275</v>
      </c>
      <c r="B91" t="s">
        <v>48</v>
      </c>
      <c r="C91" t="s">
        <v>129</v>
      </c>
      <c r="D91" t="s">
        <v>85</v>
      </c>
      <c r="E91" t="s">
        <v>208</v>
      </c>
      <c r="F91" t="s">
        <v>30</v>
      </c>
      <c r="G91" t="s">
        <v>25</v>
      </c>
      <c r="H91" t="s">
        <v>192</v>
      </c>
      <c r="I91">
        <v>1</v>
      </c>
      <c r="J91">
        <v>283403</v>
      </c>
      <c r="K91">
        <v>283613</v>
      </c>
      <c r="L91">
        <f>+Table1[[#This Row],[End KM]]-Table1[[#This Row],[Strat KM]]</f>
        <v>210</v>
      </c>
      <c r="M91">
        <v>210</v>
      </c>
      <c r="P91" s="3">
        <f>IF(O91-N91&gt;TIME(12,0,0),O91-N91-TIME(12,0,0),0)</f>
        <v>0.0</v>
      </c>
    </row>
    <row r="92">
      <c r="A92" s="2">
        <v>46277</v>
      </c>
      <c r="B92" t="s">
        <v>100</v>
      </c>
      <c r="C92" t="s">
        <v>209</v>
      </c>
      <c r="D92" t="s">
        <v>136</v>
      </c>
      <c r="E92" t="s">
        <v>136</v>
      </c>
      <c r="F92" t="s">
        <v>19</v>
      </c>
      <c r="G92" t="s">
        <v>99</v>
      </c>
      <c r="H92" t="s">
        <v>76</v>
      </c>
      <c r="J92">
        <v>216040</v>
      </c>
      <c r="K92">
        <v>216275</v>
      </c>
      <c r="L92">
        <f>+Table1[[#This Row],[End KM]]-Table1[[#This Row],[Strat KM]]</f>
        <v>235</v>
      </c>
      <c r="M92">
        <v>267</v>
      </c>
      <c r="P92" s="3">
        <f>IF(O92-N92&gt;TIME(12,0,0),O92-N92-TIME(12,0,0),0)</f>
        <v>0.0</v>
      </c>
    </row>
    <row r="93">
      <c r="A93" s="2">
        <v>46277</v>
      </c>
      <c r="B93" t="s">
        <v>142</v>
      </c>
      <c r="C93" t="s">
        <v>210</v>
      </c>
      <c r="D93" t="s">
        <v>43</v>
      </c>
      <c r="E93" t="s">
        <v>43</v>
      </c>
      <c r="F93" t="s">
        <v>19</v>
      </c>
      <c r="G93" t="s">
        <v>60</v>
      </c>
      <c r="H93" t="s">
        <v>179</v>
      </c>
      <c r="J93">
        <v>111173</v>
      </c>
      <c r="K93">
        <v>111379</v>
      </c>
      <c r="L93">
        <f>+Table1[[#This Row],[End KM]]-Table1[[#This Row],[Strat KM]]</f>
        <v>206</v>
      </c>
      <c r="M93">
        <v>236</v>
      </c>
      <c r="P93" s="3">
        <f>IF(O93-N93&gt;TIME(12,0,0),O93-N93-TIME(12,0,0),0)</f>
        <v>0.0</v>
      </c>
    </row>
    <row r="94">
      <c r="A94" s="2">
        <v>46277</v>
      </c>
      <c r="B94" t="s">
        <v>211</v>
      </c>
      <c r="C94" t="s">
        <v>129</v>
      </c>
      <c r="D94" t="s">
        <v>74</v>
      </c>
      <c r="E94" t="s">
        <v>90</v>
      </c>
      <c r="F94" t="s">
        <v>30</v>
      </c>
      <c r="G94" t="s">
        <v>46</v>
      </c>
      <c r="H94" t="s">
        <v>68</v>
      </c>
      <c r="I94">
        <v>2</v>
      </c>
      <c r="J94">
        <v>283613</v>
      </c>
      <c r="K94">
        <v>284079</v>
      </c>
      <c r="L94">
        <f>+Table1[[#This Row],[End KM]]-Table1[[#This Row],[Strat KM]]</f>
        <v>466</v>
      </c>
      <c r="M94">
        <v>466</v>
      </c>
      <c r="P94" s="3">
        <f>IF(O94-N94&gt;TIME(12,0,0),O94-N94-TIME(12,0,0),0)</f>
        <v>0.0</v>
      </c>
    </row>
    <row r="95">
      <c r="A95" s="2">
        <v>46277</v>
      </c>
      <c r="B95" t="s">
        <v>85</v>
      </c>
      <c r="C95" t="s">
        <v>212</v>
      </c>
      <c r="D95" t="s">
        <v>213</v>
      </c>
      <c r="E95" t="s">
        <v>213</v>
      </c>
      <c r="F95" t="s">
        <v>19</v>
      </c>
      <c r="G95" t="s">
        <v>55</v>
      </c>
      <c r="H95" t="s">
        <v>37</v>
      </c>
      <c r="J95">
        <v>84571</v>
      </c>
      <c r="K95">
        <v>84809</v>
      </c>
      <c r="L95">
        <f>+Table1[[#This Row],[End KM]]-Table1[[#This Row],[Strat KM]]</f>
        <v>238</v>
      </c>
      <c r="M95">
        <v>238</v>
      </c>
      <c r="P95" s="3">
        <f>IF(O95-N95&gt;TIME(12,0,0),O95-N95-TIME(12,0,0),0)</f>
        <v>0.0</v>
      </c>
    </row>
    <row r="96">
      <c r="A96" s="2">
        <v>46277</v>
      </c>
      <c r="B96" t="s">
        <v>214</v>
      </c>
      <c r="C96" t="s">
        <v>138</v>
      </c>
      <c r="D96" t="s">
        <v>164</v>
      </c>
      <c r="E96" t="s">
        <v>164</v>
      </c>
      <c r="F96" t="s">
        <v>19</v>
      </c>
      <c r="G96" t="s">
        <v>20</v>
      </c>
      <c r="H96" t="s">
        <v>215</v>
      </c>
      <c r="J96">
        <v>136622</v>
      </c>
      <c r="K96">
        <v>137036</v>
      </c>
      <c r="L96">
        <f>+Table1[[#This Row],[End KM]]-Table1[[#This Row],[Strat KM]]</f>
        <v>414</v>
      </c>
      <c r="M96">
        <v>414</v>
      </c>
      <c r="P96" s="3">
        <f>IF(O96-N96&gt;TIME(12,0,0),O96-N96-TIME(12,0,0),0)</f>
        <v>0.0</v>
      </c>
    </row>
    <row r="97">
      <c r="A97" s="2">
        <v>46277</v>
      </c>
      <c r="B97" t="s">
        <v>161</v>
      </c>
      <c r="C97" t="s">
        <v>17</v>
      </c>
      <c r="D97" t="s">
        <v>157</v>
      </c>
      <c r="E97" t="s">
        <v>157</v>
      </c>
      <c r="F97" t="s">
        <v>19</v>
      </c>
      <c r="G97" t="s">
        <v>152</v>
      </c>
      <c r="H97" t="s">
        <v>76</v>
      </c>
      <c r="J97">
        <v>209269</v>
      </c>
      <c r="K97">
        <v>209519</v>
      </c>
      <c r="L97">
        <f>+Table1[[#This Row],[End KM]]-Table1[[#This Row],[Strat KM]]</f>
        <v>250</v>
      </c>
      <c r="M97">
        <v>250</v>
      </c>
      <c r="P97" s="3">
        <f>IF(O97-N97&gt;TIME(12,0,0),O97-N97-TIME(12,0,0),0)</f>
        <v>0.0</v>
      </c>
    </row>
    <row r="98">
      <c r="A98" s="2">
        <v>46277</v>
      </c>
      <c r="B98" t="s">
        <v>149</v>
      </c>
      <c r="C98" t="s">
        <v>77</v>
      </c>
      <c r="D98" t="s">
        <v>216</v>
      </c>
      <c r="E98" t="s">
        <v>217</v>
      </c>
      <c r="F98" t="s">
        <v>30</v>
      </c>
      <c r="G98" t="s">
        <v>36</v>
      </c>
      <c r="H98" t="s">
        <v>107</v>
      </c>
      <c r="I98">
        <v>3</v>
      </c>
      <c r="J98">
        <v>281778</v>
      </c>
      <c r="K98">
        <v>281993</v>
      </c>
      <c r="L98">
        <f>+Table1[[#This Row],[End KM]]-Table1[[#This Row],[Strat KM]]</f>
        <v>215</v>
      </c>
      <c r="M98">
        <v>215</v>
      </c>
      <c r="P98" s="3">
        <f>IF(O98-N98&gt;TIME(12,0,0),O98-N98-TIME(12,0,0),0)</f>
        <v>0.0</v>
      </c>
    </row>
    <row r="99">
      <c r="A99" s="2">
        <v>46277</v>
      </c>
      <c r="B99" t="s">
        <v>22</v>
      </c>
      <c r="C99" t="s">
        <v>193</v>
      </c>
      <c r="D99" t="s">
        <v>174</v>
      </c>
      <c r="E99" t="s">
        <v>174</v>
      </c>
      <c r="F99" t="s">
        <v>19</v>
      </c>
      <c r="G99" t="s">
        <v>67</v>
      </c>
      <c r="H99" t="s">
        <v>218</v>
      </c>
      <c r="J99">
        <v>181531</v>
      </c>
      <c r="K99">
        <v>181940</v>
      </c>
      <c r="L99">
        <f>+Table1[[#This Row],[End KM]]-Table1[[#This Row],[Strat KM]]</f>
        <v>409</v>
      </c>
      <c r="M99">
        <v>210</v>
      </c>
      <c r="P99" s="3">
        <f>IF(O99-N99&gt;TIME(12,0,0),O99-N99-TIME(12,0,0),0)</f>
        <v>0.0</v>
      </c>
    </row>
    <row r="100">
      <c r="A100" s="2">
        <v>46277</v>
      </c>
      <c r="B100" t="s">
        <v>24</v>
      </c>
      <c r="C100" t="s">
        <v>116</v>
      </c>
      <c r="D100" t="s">
        <v>136</v>
      </c>
      <c r="E100" t="s">
        <v>136</v>
      </c>
      <c r="F100" t="s">
        <v>19</v>
      </c>
      <c r="G100" t="s">
        <v>144</v>
      </c>
      <c r="H100" t="s">
        <v>219</v>
      </c>
      <c r="J100">
        <v>216523</v>
      </c>
      <c r="K100">
        <v>216644</v>
      </c>
      <c r="L100">
        <f>+Table1[[#This Row],[End KM]]-Table1[[#This Row],[Strat KM]]</f>
        <v>121</v>
      </c>
      <c r="M100">
        <v>121</v>
      </c>
      <c r="P100" s="3">
        <f>IF(O100-N100&gt;TIME(12,0,0),O100-N100-TIME(12,0,0),0)</f>
        <v>0.0</v>
      </c>
    </row>
    <row r="101">
      <c r="A101" s="2">
        <v>46277</v>
      </c>
      <c r="B101" t="s">
        <v>220</v>
      </c>
      <c r="C101" t="s">
        <v>184</v>
      </c>
      <c r="D101" t="s">
        <v>71</v>
      </c>
      <c r="E101" t="s">
        <v>221</v>
      </c>
      <c r="F101" t="s">
        <v>30</v>
      </c>
      <c r="G101" t="s">
        <v>55</v>
      </c>
      <c r="H101" t="s">
        <v>26</v>
      </c>
      <c r="I101">
        <v>4</v>
      </c>
      <c r="J101">
        <v>174778</v>
      </c>
      <c r="K101">
        <v>175044</v>
      </c>
      <c r="L101">
        <f>+Table1[[#This Row],[End KM]]-Table1[[#This Row],[Strat KM]]</f>
        <v>266</v>
      </c>
      <c r="M101">
        <v>226</v>
      </c>
      <c r="P101" s="3">
        <f>IF(O101-N101&gt;TIME(12,0,0),O101-N101-TIME(12,0,0),0)</f>
        <v>0.0</v>
      </c>
    </row>
    <row r="102">
      <c r="A102" s="2">
        <v>46278</v>
      </c>
      <c r="B102" t="s">
        <v>108</v>
      </c>
      <c r="C102" t="s">
        <v>167</v>
      </c>
      <c r="D102" t="s">
        <v>50</v>
      </c>
      <c r="E102" t="s">
        <v>222</v>
      </c>
      <c r="F102" t="s">
        <v>30</v>
      </c>
      <c r="G102" t="s">
        <v>88</v>
      </c>
      <c r="H102" t="s">
        <v>81</v>
      </c>
      <c r="I102">
        <v>5</v>
      </c>
      <c r="J102">
        <v>234486</v>
      </c>
      <c r="K102">
        <v>234699</v>
      </c>
      <c r="L102">
        <f>+Table1[[#This Row],[End KM]]-Table1[[#This Row],[Strat KM]]</f>
        <v>213</v>
      </c>
      <c r="M102">
        <v>213</v>
      </c>
      <c r="P102" s="3">
        <f>IF(O102-N102&gt;TIME(12,0,0),O102-N102-TIME(12,0,0),0)</f>
        <v>0.0</v>
      </c>
    </row>
    <row r="103">
      <c r="A103" s="2">
        <v>46278</v>
      </c>
      <c r="B103" t="s">
        <v>43</v>
      </c>
      <c r="D103" t="s">
        <v>66</v>
      </c>
      <c r="E103" t="s">
        <v>223</v>
      </c>
      <c r="F103" t="s">
        <v>30</v>
      </c>
      <c r="G103" t="s">
        <v>25</v>
      </c>
      <c r="H103" t="s">
        <v>218</v>
      </c>
      <c r="I103">
        <v>6</v>
      </c>
      <c r="J103">
        <v>177209</v>
      </c>
      <c r="K103">
        <v>177471</v>
      </c>
      <c r="L103">
        <f>+Table1[[#This Row],[End KM]]-Table1[[#This Row],[Strat KM]]</f>
        <v>262</v>
      </c>
      <c r="M103">
        <v>262</v>
      </c>
      <c r="P103" s="3">
        <f>IF(O103-N103&gt;TIME(12,0,0),O103-N103-TIME(12,0,0),0)</f>
        <v>0.0</v>
      </c>
    </row>
    <row r="104">
      <c r="A104" s="2">
        <v>46278</v>
      </c>
      <c r="B104" t="s">
        <v>78</v>
      </c>
      <c r="C104" t="s">
        <v>49</v>
      </c>
      <c r="D104" t="s">
        <v>136</v>
      </c>
      <c r="E104" t="s">
        <v>136</v>
      </c>
      <c r="F104" t="s">
        <v>19</v>
      </c>
      <c r="G104" t="s">
        <v>20</v>
      </c>
      <c r="H104" t="s">
        <v>107</v>
      </c>
      <c r="J104">
        <v>132700</v>
      </c>
      <c r="K104">
        <v>132897</v>
      </c>
      <c r="L104">
        <f>+Table1[[#This Row],[End KM]]-Table1[[#This Row],[Strat KM]]</f>
        <v>197</v>
      </c>
      <c r="M104">
        <v>197</v>
      </c>
      <c r="P104" s="3">
        <f>IF(O104-N104&gt;TIME(12,0,0),O104-N104-TIME(12,0,0),0)</f>
        <v>0.0</v>
      </c>
    </row>
    <row r="105">
      <c r="A105" s="2">
        <v>46278</v>
      </c>
      <c r="B105" t="s">
        <v>220</v>
      </c>
      <c r="C105" t="s">
        <v>189</v>
      </c>
      <c r="D105" t="s">
        <v>53</v>
      </c>
      <c r="E105" t="s">
        <v>75</v>
      </c>
      <c r="F105" t="s">
        <v>30</v>
      </c>
      <c r="G105" t="s">
        <v>36</v>
      </c>
      <c r="H105" t="s">
        <v>96</v>
      </c>
      <c r="I105">
        <v>7</v>
      </c>
      <c r="J105">
        <v>247470</v>
      </c>
      <c r="K105">
        <v>247731</v>
      </c>
      <c r="L105">
        <f>+Table1[[#This Row],[End KM]]-Table1[[#This Row],[Strat KM]]</f>
        <v>261</v>
      </c>
      <c r="M105">
        <v>261</v>
      </c>
      <c r="P105" s="3">
        <f>IF(O105-N105&gt;TIME(12,0,0),O105-N105-TIME(12,0,0),0)</f>
        <v>0.0</v>
      </c>
    </row>
    <row r="106">
      <c r="A106" s="2">
        <v>46278</v>
      </c>
      <c r="B106" t="s">
        <v>89</v>
      </c>
      <c r="C106" t="s">
        <v>39</v>
      </c>
      <c r="D106" t="s">
        <v>166</v>
      </c>
      <c r="E106" t="s">
        <v>166</v>
      </c>
      <c r="F106" t="s">
        <v>19</v>
      </c>
      <c r="G106" t="s">
        <v>106</v>
      </c>
      <c r="H106" t="s">
        <v>203</v>
      </c>
      <c r="J106">
        <v>180971</v>
      </c>
      <c r="K106">
        <v>181241</v>
      </c>
      <c r="L106">
        <f>+Table1[[#This Row],[End KM]]-Table1[[#This Row],[Strat KM]]</f>
        <v>270</v>
      </c>
      <c r="M106">
        <v>300</v>
      </c>
      <c r="P106" s="3">
        <f>IF(O106-N106&gt;TIME(12,0,0),O106-N106-TIME(12,0,0),0)</f>
        <v>0.0</v>
      </c>
    </row>
    <row r="107">
      <c r="A107" s="2">
        <v>46278</v>
      </c>
      <c r="B107" t="s">
        <v>38</v>
      </c>
      <c r="C107" t="s">
        <v>140</v>
      </c>
      <c r="D107" t="s">
        <v>224</v>
      </c>
      <c r="E107" t="s">
        <v>224</v>
      </c>
      <c r="F107" t="s">
        <v>19</v>
      </c>
      <c r="G107" t="s">
        <v>67</v>
      </c>
      <c r="H107" t="s">
        <v>225</v>
      </c>
      <c r="J107">
        <v>278188</v>
      </c>
      <c r="K107">
        <v>278450</v>
      </c>
      <c r="L107">
        <f>+Table1[[#This Row],[End KM]]-Table1[[#This Row],[Strat KM]]</f>
        <v>262</v>
      </c>
      <c r="M107">
        <v>262</v>
      </c>
      <c r="P107" s="3">
        <f>IF(O107-N107&gt;TIME(12,0,0),O107-N107-TIME(12,0,0),0)</f>
        <v>0.0</v>
      </c>
    </row>
    <row r="108">
      <c r="A108" s="2">
        <v>46278</v>
      </c>
      <c r="B108" t="s">
        <v>149</v>
      </c>
      <c r="C108" t="s">
        <v>210</v>
      </c>
      <c r="D108" t="s">
        <v>58</v>
      </c>
      <c r="E108" t="s">
        <v>58</v>
      </c>
      <c r="F108" t="s">
        <v>19</v>
      </c>
      <c r="G108" t="s">
        <v>25</v>
      </c>
      <c r="H108" t="s">
        <v>226</v>
      </c>
      <c r="J108">
        <v>111389</v>
      </c>
      <c r="K108">
        <v>111600</v>
      </c>
      <c r="L108">
        <f>+Table1[[#This Row],[End KM]]-Table1[[#This Row],[Strat KM]]</f>
        <v>211</v>
      </c>
      <c r="M108">
        <v>170</v>
      </c>
      <c r="P108" s="3">
        <f>IF(O108-N108&gt;TIME(12,0,0),O108-N108-TIME(12,0,0),0)</f>
        <v>0.0</v>
      </c>
    </row>
    <row r="109">
      <c r="A109" s="2">
        <v>46278</v>
      </c>
      <c r="B109" t="s">
        <v>211</v>
      </c>
      <c r="C109" t="s">
        <v>193</v>
      </c>
      <c r="D109" t="s">
        <v>87</v>
      </c>
      <c r="E109" t="s">
        <v>103</v>
      </c>
      <c r="F109" t="s">
        <v>30</v>
      </c>
      <c r="G109" t="s">
        <v>144</v>
      </c>
      <c r="H109" t="s">
        <v>93</v>
      </c>
      <c r="I109">
        <v>1</v>
      </c>
      <c r="J109">
        <v>181950</v>
      </c>
      <c r="K109">
        <v>182158</v>
      </c>
      <c r="L109">
        <f>+Table1[[#This Row],[End KM]]-Table1[[#This Row],[Strat KM]]</f>
        <v>208</v>
      </c>
      <c r="M109">
        <v>208</v>
      </c>
      <c r="P109" s="3">
        <f>IF(O109-N109&gt;TIME(12,0,0),O109-N109-TIME(12,0,0),0)</f>
        <v>0.0</v>
      </c>
    </row>
    <row r="110">
      <c r="A110" s="2">
        <v>46278</v>
      </c>
      <c r="B110" t="s">
        <v>161</v>
      </c>
      <c r="D110" t="s">
        <v>157</v>
      </c>
      <c r="E110" t="s">
        <v>157</v>
      </c>
      <c r="F110" t="s">
        <v>19</v>
      </c>
      <c r="G110" t="s">
        <v>64</v>
      </c>
      <c r="H110" t="s">
        <v>47</v>
      </c>
      <c r="J110">
        <v>292890</v>
      </c>
      <c r="K110">
        <v>293105</v>
      </c>
      <c r="L110">
        <f>+Table1[[#This Row],[End KM]]-Table1[[#This Row],[Strat KM]]</f>
        <v>215</v>
      </c>
      <c r="M110">
        <v>247</v>
      </c>
      <c r="P110" s="3">
        <f>IF(O110-N110&gt;TIME(12,0,0),O110-N110-TIME(12,0,0),0)</f>
        <v>0.0</v>
      </c>
    </row>
    <row r="111">
      <c r="A111" s="2">
        <v>46278</v>
      </c>
      <c r="B111" t="s">
        <v>108</v>
      </c>
      <c r="C111" t="s">
        <v>118</v>
      </c>
      <c r="D111" t="s">
        <v>131</v>
      </c>
      <c r="E111" t="s">
        <v>227</v>
      </c>
      <c r="F111" t="s">
        <v>30</v>
      </c>
      <c r="G111" t="s">
        <v>67</v>
      </c>
      <c r="H111" t="s">
        <v>47</v>
      </c>
      <c r="I111">
        <v>2</v>
      </c>
      <c r="J111">
        <v>64634</v>
      </c>
      <c r="K111">
        <v>64865</v>
      </c>
      <c r="L111">
        <f>+Table1[[#This Row],[End KM]]-Table1[[#This Row],[Strat KM]]</f>
        <v>231</v>
      </c>
      <c r="M111">
        <v>231</v>
      </c>
      <c r="P111" s="3">
        <f>IF(O111-N111&gt;TIME(12,0,0),O111-N111-TIME(12,0,0),0)</f>
        <v>0.0</v>
      </c>
    </row>
    <row r="112">
      <c r="A112" s="2">
        <v>46279</v>
      </c>
      <c r="B112" t="s">
        <v>43</v>
      </c>
      <c r="C112" t="s">
        <v>109</v>
      </c>
      <c r="D112" t="s">
        <v>45</v>
      </c>
      <c r="E112" t="s">
        <v>45</v>
      </c>
      <c r="F112" t="s">
        <v>19</v>
      </c>
      <c r="G112" t="s">
        <v>31</v>
      </c>
      <c r="H112" t="s">
        <v>107</v>
      </c>
      <c r="J112">
        <v>154352</v>
      </c>
      <c r="K112">
        <v>154767</v>
      </c>
      <c r="L112">
        <f>+Table1[[#This Row],[End KM]]-Table1[[#This Row],[Strat KM]]</f>
        <v>415</v>
      </c>
      <c r="M112">
        <v>415</v>
      </c>
      <c r="P112" s="3">
        <f>IF(O112-N112&gt;TIME(12,0,0),O112-N112-TIME(12,0,0),0)</f>
        <v>0.0</v>
      </c>
    </row>
    <row r="113">
      <c r="A113" s="2">
        <v>46279</v>
      </c>
      <c r="B113" t="s">
        <v>135</v>
      </c>
      <c r="C113" t="s">
        <v>138</v>
      </c>
      <c r="D113" t="s">
        <v>199</v>
      </c>
      <c r="E113" t="s">
        <v>199</v>
      </c>
      <c r="F113" t="s">
        <v>19</v>
      </c>
      <c r="G113" t="s">
        <v>144</v>
      </c>
      <c r="H113" t="s">
        <v>228</v>
      </c>
      <c r="J113">
        <v>137046</v>
      </c>
      <c r="K113">
        <v>137507</v>
      </c>
      <c r="L113">
        <f>+Table1[[#This Row],[End KM]]-Table1[[#This Row],[Strat KM]]</f>
        <v>461</v>
      </c>
      <c r="M113">
        <v>461</v>
      </c>
      <c r="P113" s="3">
        <f>IF(O113-N113&gt;TIME(12,0,0),O113-N113-TIME(12,0,0),0)</f>
        <v>0.0</v>
      </c>
    </row>
    <row r="114">
      <c r="A114" s="2">
        <v>46279</v>
      </c>
      <c r="B114" t="s">
        <v>150</v>
      </c>
      <c r="C114" t="s">
        <v>82</v>
      </c>
      <c r="D114" t="s">
        <v>164</v>
      </c>
      <c r="E114" t="s">
        <v>164</v>
      </c>
      <c r="F114" t="s">
        <v>19</v>
      </c>
      <c r="G114" t="s">
        <v>36</v>
      </c>
      <c r="H114" t="s">
        <v>21</v>
      </c>
      <c r="J114">
        <v>196187</v>
      </c>
      <c r="K114">
        <v>196448</v>
      </c>
      <c r="L114">
        <f>+Table1[[#This Row],[End KM]]-Table1[[#This Row],[Strat KM]]</f>
        <v>261</v>
      </c>
      <c r="M114">
        <v>261</v>
      </c>
      <c r="P114" s="3">
        <f>IF(O114-N114&gt;TIME(12,0,0),O114-N114-TIME(12,0,0),0)</f>
        <v>0.0</v>
      </c>
    </row>
    <row r="115">
      <c r="A115" s="2">
        <v>46279</v>
      </c>
      <c r="B115" t="s">
        <v>164</v>
      </c>
      <c r="C115" t="s">
        <v>171</v>
      </c>
      <c r="D115" t="s">
        <v>147</v>
      </c>
      <c r="E115" t="s">
        <v>75</v>
      </c>
      <c r="F115" t="s">
        <v>30</v>
      </c>
      <c r="G115" t="s">
        <v>60</v>
      </c>
      <c r="H115" t="s">
        <v>225</v>
      </c>
      <c r="I115">
        <v>3</v>
      </c>
      <c r="J115">
        <v>62364</v>
      </c>
      <c r="K115">
        <v>62622</v>
      </c>
      <c r="L115">
        <f>+Table1[[#This Row],[End KM]]-Table1[[#This Row],[Strat KM]]</f>
        <v>258</v>
      </c>
      <c r="M115">
        <v>258</v>
      </c>
      <c r="P115" s="3">
        <f>IF(O115-N115&gt;TIME(12,0,0),O115-N115-TIME(12,0,0),0)</f>
        <v>0.0</v>
      </c>
    </row>
    <row r="116">
      <c r="A116" s="2">
        <v>46279</v>
      </c>
      <c r="B116" t="s">
        <v>229</v>
      </c>
      <c r="C116" t="s">
        <v>165</v>
      </c>
      <c r="D116" t="s">
        <v>45</v>
      </c>
      <c r="E116" t="s">
        <v>45</v>
      </c>
      <c r="F116" t="s">
        <v>19</v>
      </c>
      <c r="G116" t="s">
        <v>152</v>
      </c>
      <c r="H116" t="s">
        <v>26</v>
      </c>
      <c r="J116">
        <v>141863</v>
      </c>
      <c r="K116">
        <v>142073</v>
      </c>
      <c r="L116">
        <f>+Table1[[#This Row],[End KM]]-Table1[[#This Row],[Strat KM]]</f>
        <v>210</v>
      </c>
      <c r="M116">
        <v>210</v>
      </c>
      <c r="P116" s="3">
        <f>IF(O116-N116&gt;TIME(12,0,0),O116-N116-TIME(12,0,0),0)</f>
        <v>0.0</v>
      </c>
    </row>
    <row r="117">
      <c r="A117" s="2">
        <v>46279</v>
      </c>
      <c r="B117" t="s">
        <v>178</v>
      </c>
      <c r="C117" t="s">
        <v>230</v>
      </c>
      <c r="D117" t="s">
        <v>216</v>
      </c>
      <c r="E117" t="s">
        <v>75</v>
      </c>
      <c r="F117" t="s">
        <v>30</v>
      </c>
      <c r="G117" t="s">
        <v>64</v>
      </c>
      <c r="H117" t="s">
        <v>107</v>
      </c>
      <c r="I117">
        <v>4</v>
      </c>
      <c r="J117">
        <v>204866</v>
      </c>
      <c r="K117">
        <v>205340</v>
      </c>
      <c r="L117">
        <f>+Table1[[#This Row],[End KM]]-Table1[[#This Row],[Strat KM]]</f>
        <v>474</v>
      </c>
      <c r="M117">
        <v>474</v>
      </c>
      <c r="P117" s="3">
        <f>IF(O117-N117&gt;TIME(12,0,0),O117-N117-TIME(12,0,0),0)</f>
        <v>0.0</v>
      </c>
    </row>
    <row r="118">
      <c r="A118" s="2">
        <v>46279</v>
      </c>
      <c r="B118" t="s">
        <v>172</v>
      </c>
      <c r="C118" t="s">
        <v>101</v>
      </c>
      <c r="D118" t="s">
        <v>70</v>
      </c>
      <c r="E118" t="s">
        <v>75</v>
      </c>
      <c r="F118" t="s">
        <v>30</v>
      </c>
      <c r="G118" t="s">
        <v>51</v>
      </c>
      <c r="H118" t="s">
        <v>194</v>
      </c>
      <c r="I118">
        <v>5</v>
      </c>
      <c r="J118">
        <v>311852</v>
      </c>
      <c r="K118">
        <v>311977</v>
      </c>
      <c r="L118">
        <f>+Table1[[#This Row],[End KM]]-Table1[[#This Row],[Strat KM]]</f>
        <v>125</v>
      </c>
      <c r="M118">
        <v>85</v>
      </c>
      <c r="P118" s="3">
        <f>IF(O118-N118&gt;TIME(12,0,0),O118-N118-TIME(12,0,0),0)</f>
        <v>0.0</v>
      </c>
    </row>
    <row r="119">
      <c r="A119" s="2">
        <v>46279</v>
      </c>
      <c r="B119" t="s">
        <v>211</v>
      </c>
      <c r="C119" t="s">
        <v>231</v>
      </c>
      <c r="D119" t="s">
        <v>66</v>
      </c>
      <c r="E119" t="s">
        <v>66</v>
      </c>
      <c r="F119" t="s">
        <v>19</v>
      </c>
      <c r="G119" t="s">
        <v>55</v>
      </c>
      <c r="H119" t="s">
        <v>107</v>
      </c>
      <c r="J119">
        <v>216549</v>
      </c>
      <c r="K119">
        <v>216745</v>
      </c>
      <c r="L119">
        <f>+Table1[[#This Row],[End KM]]-Table1[[#This Row],[Strat KM]]</f>
        <v>196</v>
      </c>
      <c r="M119">
        <v>196</v>
      </c>
      <c r="P119" s="3">
        <f>IF(O119-N119&gt;TIME(12,0,0),O119-N119-TIME(12,0,0),0)</f>
        <v>0.0</v>
      </c>
    </row>
    <row r="120">
      <c r="A120" s="2">
        <v>46279</v>
      </c>
      <c r="B120" t="s">
        <v>24</v>
      </c>
      <c r="C120" t="s">
        <v>154</v>
      </c>
      <c r="D120" t="s">
        <v>121</v>
      </c>
      <c r="E120" t="s">
        <v>121</v>
      </c>
      <c r="F120" t="s">
        <v>19</v>
      </c>
      <c r="G120" t="s">
        <v>92</v>
      </c>
      <c r="H120" t="s">
        <v>232</v>
      </c>
      <c r="J120">
        <v>288971</v>
      </c>
      <c r="K120">
        <v>289229</v>
      </c>
      <c r="L120">
        <f>+Table1[[#This Row],[End KM]]-Table1[[#This Row],[Strat KM]]</f>
        <v>258</v>
      </c>
      <c r="M120">
        <v>258</v>
      </c>
      <c r="P120" s="3">
        <f>IF(O120-N120&gt;TIME(12,0,0),O120-N120-TIME(12,0,0),0)</f>
        <v>0.0</v>
      </c>
    </row>
    <row r="121">
      <c r="A121" s="2">
        <v>46279</v>
      </c>
      <c r="B121" t="s">
        <v>132</v>
      </c>
      <c r="C121" t="s">
        <v>69</v>
      </c>
      <c r="D121" t="s">
        <v>66</v>
      </c>
      <c r="E121" t="s">
        <v>66</v>
      </c>
      <c r="F121" t="s">
        <v>19</v>
      </c>
      <c r="G121" t="s">
        <v>152</v>
      </c>
      <c r="H121" t="s">
        <v>233</v>
      </c>
      <c r="J121">
        <v>251804</v>
      </c>
      <c r="K121">
        <v>252074</v>
      </c>
      <c r="L121">
        <f>+Table1[[#This Row],[End KM]]-Table1[[#This Row],[Strat KM]]</f>
        <v>270</v>
      </c>
      <c r="M121">
        <v>291</v>
      </c>
      <c r="P121" s="3">
        <f>IF(O121-N121&gt;TIME(12,0,0),O121-N121-TIME(12,0,0),0)</f>
        <v>0.0</v>
      </c>
    </row>
    <row r="122">
      <c r="A122" s="2">
        <v>46280</v>
      </c>
      <c r="B122" t="s">
        <v>146</v>
      </c>
      <c r="C122" t="s">
        <v>27</v>
      </c>
      <c r="D122" t="s">
        <v>24</v>
      </c>
      <c r="E122" t="s">
        <v>103</v>
      </c>
      <c r="F122" t="s">
        <v>30</v>
      </c>
      <c r="G122" t="s">
        <v>67</v>
      </c>
      <c r="H122" t="s">
        <v>234</v>
      </c>
      <c r="I122">
        <v>6</v>
      </c>
      <c r="J122">
        <v>182126</v>
      </c>
      <c r="K122">
        <v>182385</v>
      </c>
      <c r="L122">
        <f>+Table1[[#This Row],[End KM]]-Table1[[#This Row],[Strat KM]]</f>
        <v>259</v>
      </c>
      <c r="M122">
        <v>259</v>
      </c>
      <c r="P122" s="3">
        <f>IF(O122-N122&gt;TIME(12,0,0),O122-N122-TIME(12,0,0),0)</f>
        <v>0.0</v>
      </c>
    </row>
    <row r="123">
      <c r="A123" s="2">
        <v>46280</v>
      </c>
      <c r="B123" t="s">
        <v>235</v>
      </c>
      <c r="C123" t="s">
        <v>49</v>
      </c>
      <c r="D123" t="s">
        <v>117</v>
      </c>
      <c r="E123" t="s">
        <v>103</v>
      </c>
      <c r="F123" t="s">
        <v>30</v>
      </c>
      <c r="G123" t="s">
        <v>152</v>
      </c>
      <c r="H123" t="s">
        <v>37</v>
      </c>
      <c r="I123">
        <v>7</v>
      </c>
      <c r="J123">
        <v>132897</v>
      </c>
      <c r="K123">
        <v>133313</v>
      </c>
      <c r="L123">
        <f>+Table1[[#This Row],[End KM]]-Table1[[#This Row],[Strat KM]]</f>
        <v>416</v>
      </c>
      <c r="M123">
        <v>416</v>
      </c>
      <c r="P123" s="3">
        <f>IF(O123-N123&gt;TIME(12,0,0),O123-N123-TIME(12,0,0),0)</f>
        <v>0.0</v>
      </c>
    </row>
    <row r="124">
      <c r="A124" s="2">
        <v>46280</v>
      </c>
      <c r="B124" t="s">
        <v>53</v>
      </c>
      <c r="D124" t="s">
        <v>114</v>
      </c>
      <c r="E124" t="s">
        <v>114</v>
      </c>
      <c r="F124" t="s">
        <v>19</v>
      </c>
      <c r="G124" t="s">
        <v>55</v>
      </c>
      <c r="H124" t="s">
        <v>37</v>
      </c>
      <c r="J124">
        <v>312428</v>
      </c>
      <c r="K124">
        <v>312540</v>
      </c>
      <c r="L124">
        <f>+Table1[[#This Row],[End KM]]-Table1[[#This Row],[Strat KM]]</f>
        <v>112</v>
      </c>
      <c r="M124">
        <v>112</v>
      </c>
      <c r="P124" s="3">
        <f>IF(O124-N124&gt;TIME(12,0,0),O124-N124-TIME(12,0,0),0)</f>
        <v>0.0</v>
      </c>
    </row>
    <row r="125">
      <c r="A125" s="2">
        <v>46280</v>
      </c>
      <c r="B125" t="s">
        <v>112</v>
      </c>
      <c r="C125" t="s">
        <v>63</v>
      </c>
      <c r="D125" t="s">
        <v>216</v>
      </c>
      <c r="E125" t="s">
        <v>216</v>
      </c>
      <c r="F125" t="s">
        <v>19</v>
      </c>
      <c r="G125" t="s">
        <v>143</v>
      </c>
      <c r="H125" t="s">
        <v>37</v>
      </c>
      <c r="J125">
        <v>170143</v>
      </c>
      <c r="K125">
        <v>170607</v>
      </c>
      <c r="L125">
        <f>+Table1[[#This Row],[End KM]]-Table1[[#This Row],[Strat KM]]</f>
        <v>464</v>
      </c>
      <c r="M125">
        <v>464</v>
      </c>
      <c r="P125" s="3">
        <f>IF(O125-N125&gt;TIME(12,0,0),O125-N125-TIME(12,0,0),0)</f>
        <v>0.0</v>
      </c>
    </row>
    <row r="126">
      <c r="A126" s="2">
        <v>46280</v>
      </c>
      <c r="B126" t="s">
        <v>43</v>
      </c>
      <c r="C126" t="s">
        <v>210</v>
      </c>
      <c r="D126" t="s">
        <v>132</v>
      </c>
      <c r="E126" t="s">
        <v>236</v>
      </c>
      <c r="F126" t="s">
        <v>30</v>
      </c>
      <c r="G126" t="s">
        <v>88</v>
      </c>
      <c r="H126" t="s">
        <v>237</v>
      </c>
      <c r="I126">
        <v>1</v>
      </c>
      <c r="J126">
        <v>111600</v>
      </c>
      <c r="K126">
        <v>111862</v>
      </c>
      <c r="L126">
        <f>+Table1[[#This Row],[End KM]]-Table1[[#This Row],[Strat KM]]</f>
        <v>262</v>
      </c>
      <c r="M126">
        <v>262</v>
      </c>
      <c r="P126" s="3">
        <f>IF(O126-N126&gt;TIME(12,0,0),O126-N126-TIME(12,0,0),0)</f>
        <v>0.0</v>
      </c>
    </row>
    <row r="127">
      <c r="A127" s="2">
        <v>46280</v>
      </c>
      <c r="B127" t="s">
        <v>238</v>
      </c>
      <c r="C127" t="s">
        <v>239</v>
      </c>
      <c r="D127" t="s">
        <v>70</v>
      </c>
      <c r="E127" t="s">
        <v>70</v>
      </c>
      <c r="F127" t="s">
        <v>19</v>
      </c>
      <c r="G127" t="s">
        <v>92</v>
      </c>
      <c r="H127" t="s">
        <v>37</v>
      </c>
      <c r="J127">
        <v>60752</v>
      </c>
      <c r="K127">
        <v>61220</v>
      </c>
      <c r="L127">
        <f>+Table1[[#This Row],[End KM]]-Table1[[#This Row],[Strat KM]]</f>
        <v>468</v>
      </c>
      <c r="M127">
        <v>468</v>
      </c>
      <c r="P127" s="3">
        <f>IF(O127-N127&gt;TIME(12,0,0),O127-N127-TIME(12,0,0),0)</f>
        <v>0.0</v>
      </c>
    </row>
    <row r="128">
      <c r="A128" s="2">
        <v>46280</v>
      </c>
      <c r="B128" t="s">
        <v>139</v>
      </c>
      <c r="C128" t="s">
        <v>129</v>
      </c>
      <c r="D128" t="s">
        <v>24</v>
      </c>
      <c r="E128" t="s">
        <v>24</v>
      </c>
      <c r="F128" t="s">
        <v>19</v>
      </c>
      <c r="G128" t="s">
        <v>92</v>
      </c>
      <c r="H128" t="s">
        <v>127</v>
      </c>
      <c r="J128">
        <v>284079</v>
      </c>
      <c r="K128">
        <v>284286</v>
      </c>
      <c r="L128">
        <f>+Table1[[#This Row],[End KM]]-Table1[[#This Row],[Strat KM]]</f>
        <v>207</v>
      </c>
      <c r="M128">
        <v>239</v>
      </c>
      <c r="P128" s="3">
        <f>IF(O128-N128&gt;TIME(12,0,0),O128-N128-TIME(12,0,0),0)</f>
        <v>0.0</v>
      </c>
    </row>
    <row r="129">
      <c r="A129" s="2">
        <v>46280</v>
      </c>
      <c r="B129" t="s">
        <v>139</v>
      </c>
      <c r="C129" t="s">
        <v>17</v>
      </c>
      <c r="D129" t="s">
        <v>174</v>
      </c>
      <c r="E129" t="s">
        <v>75</v>
      </c>
      <c r="F129" t="s">
        <v>30</v>
      </c>
      <c r="G129" t="s">
        <v>41</v>
      </c>
      <c r="H129" t="s">
        <v>37</v>
      </c>
      <c r="I129">
        <v>2</v>
      </c>
      <c r="J129">
        <v>209569</v>
      </c>
      <c r="K129">
        <v>209839</v>
      </c>
      <c r="L129">
        <f>+Table1[[#This Row],[End KM]]-Table1[[#This Row],[Strat KM]]</f>
        <v>270</v>
      </c>
      <c r="M129">
        <v>270</v>
      </c>
      <c r="P129" s="3">
        <f>IF(O129-N129&gt;TIME(12,0,0),O129-N129-TIME(12,0,0),0)</f>
        <v>0.0</v>
      </c>
    </row>
    <row r="130">
      <c r="A130" s="2">
        <v>46280</v>
      </c>
      <c r="B130" t="s">
        <v>153</v>
      </c>
      <c r="C130" t="s">
        <v>116</v>
      </c>
      <c r="D130" t="s">
        <v>78</v>
      </c>
      <c r="E130" t="s">
        <v>240</v>
      </c>
      <c r="F130" t="s">
        <v>30</v>
      </c>
      <c r="G130" t="s">
        <v>144</v>
      </c>
      <c r="H130" t="s">
        <v>241</v>
      </c>
      <c r="I130">
        <v>3</v>
      </c>
      <c r="J130">
        <v>216525</v>
      </c>
      <c r="K130">
        <v>217122</v>
      </c>
      <c r="L130">
        <f>+Table1[[#This Row],[End KM]]-Table1[[#This Row],[Strat KM]]</f>
        <v>597</v>
      </c>
      <c r="M130">
        <v>468</v>
      </c>
      <c r="P130" s="3">
        <f>IF(O130-N130&gt;TIME(12,0,0),O130-N130-TIME(12,0,0),0)</f>
        <v>0.0</v>
      </c>
    </row>
    <row r="131">
      <c r="A131" s="2">
        <v>46280</v>
      </c>
      <c r="B131" t="s">
        <v>56</v>
      </c>
      <c r="C131" t="s">
        <v>138</v>
      </c>
      <c r="D131" t="s">
        <v>78</v>
      </c>
      <c r="E131" t="s">
        <v>78</v>
      </c>
      <c r="F131" t="s">
        <v>19</v>
      </c>
      <c r="G131" t="s">
        <v>95</v>
      </c>
      <c r="H131" t="s">
        <v>141</v>
      </c>
      <c r="J131">
        <v>137517</v>
      </c>
      <c r="K131">
        <v>137984</v>
      </c>
      <c r="L131">
        <f>+Table1[[#This Row],[End KM]]-Table1[[#This Row],[Strat KM]]</f>
        <v>467</v>
      </c>
      <c r="M131">
        <v>467</v>
      </c>
      <c r="P131" s="3">
        <f>IF(O131-N131&gt;TIME(12,0,0),O131-N131-TIME(12,0,0),0)</f>
        <v>0.0</v>
      </c>
    </row>
    <row r="132">
      <c r="A132" s="2">
        <v>46281</v>
      </c>
      <c r="B132" t="s">
        <v>153</v>
      </c>
      <c r="C132" t="s">
        <v>49</v>
      </c>
      <c r="D132" t="s">
        <v>157</v>
      </c>
      <c r="E132" t="s">
        <v>157</v>
      </c>
      <c r="F132" t="s">
        <v>19</v>
      </c>
      <c r="G132" t="s">
        <v>51</v>
      </c>
      <c r="H132" t="s">
        <v>242</v>
      </c>
      <c r="J132">
        <v>133323</v>
      </c>
      <c r="K132">
        <v>133573</v>
      </c>
      <c r="L132">
        <f>+Table1[[#This Row],[End KM]]-Table1[[#This Row],[Strat KM]]</f>
        <v>250</v>
      </c>
      <c r="M132">
        <v>250</v>
      </c>
      <c r="P132" s="3">
        <f>IF(O132-N132&gt;TIME(12,0,0),O132-N132-TIME(12,0,0),0)</f>
        <v>0.0</v>
      </c>
    </row>
    <row r="133">
      <c r="A133" s="2">
        <v>46281</v>
      </c>
      <c r="B133" t="s">
        <v>243</v>
      </c>
      <c r="C133" t="s">
        <v>118</v>
      </c>
      <c r="D133" t="s">
        <v>147</v>
      </c>
      <c r="E133" t="s">
        <v>147</v>
      </c>
      <c r="F133" t="s">
        <v>19</v>
      </c>
      <c r="G133" t="s">
        <v>36</v>
      </c>
      <c r="H133" t="s">
        <v>115</v>
      </c>
      <c r="J133">
        <v>64865</v>
      </c>
      <c r="K133">
        <v>64977</v>
      </c>
      <c r="L133">
        <f>+Table1[[#This Row],[End KM]]-Table1[[#This Row],[Strat KM]]</f>
        <v>112</v>
      </c>
      <c r="M133">
        <v>112</v>
      </c>
      <c r="P133" s="3">
        <f>IF(O133-N133&gt;TIME(12,0,0),O133-N133-TIME(12,0,0),0)</f>
        <v>0.0</v>
      </c>
    </row>
    <row r="134">
      <c r="A134" s="2">
        <v>46281</v>
      </c>
      <c r="B134" t="s">
        <v>122</v>
      </c>
      <c r="C134" t="s">
        <v>34</v>
      </c>
      <c r="D134" t="s">
        <v>43</v>
      </c>
      <c r="E134" t="s">
        <v>43</v>
      </c>
      <c r="F134" t="s">
        <v>19</v>
      </c>
      <c r="G134" t="s">
        <v>41</v>
      </c>
      <c r="H134" t="s">
        <v>76</v>
      </c>
      <c r="J134">
        <v>218647</v>
      </c>
      <c r="K134">
        <v>218902</v>
      </c>
      <c r="L134">
        <f>+Table1[[#This Row],[End KM]]-Table1[[#This Row],[Strat KM]]</f>
        <v>255</v>
      </c>
      <c r="M134">
        <v>255</v>
      </c>
      <c r="P134" s="3">
        <f>IF(O134-N134&gt;TIME(12,0,0),O134-N134-TIME(12,0,0),0)</f>
        <v>0.0</v>
      </c>
    </row>
    <row r="135">
      <c r="A135" s="2">
        <v>46281</v>
      </c>
      <c r="B135" t="s">
        <v>244</v>
      </c>
      <c r="C135" t="s">
        <v>109</v>
      </c>
      <c r="D135" t="s">
        <v>147</v>
      </c>
      <c r="E135" t="s">
        <v>147</v>
      </c>
      <c r="F135" t="s">
        <v>19</v>
      </c>
      <c r="G135" t="s">
        <v>25</v>
      </c>
      <c r="H135" t="s">
        <v>219</v>
      </c>
      <c r="J135">
        <v>154817</v>
      </c>
      <c r="K135">
        <v>155022</v>
      </c>
      <c r="L135">
        <f>+Table1[[#This Row],[End KM]]-Table1[[#This Row],[Strat KM]]</f>
        <v>205</v>
      </c>
      <c r="M135">
        <v>173</v>
      </c>
      <c r="P135" s="3">
        <f>IF(O135-N135&gt;TIME(12,0,0),O135-N135-TIME(12,0,0),0)</f>
        <v>0.0</v>
      </c>
    </row>
    <row r="136">
      <c r="A136" s="2">
        <v>46281</v>
      </c>
      <c r="B136" t="s">
        <v>245</v>
      </c>
      <c r="C136" t="s">
        <v>27</v>
      </c>
      <c r="D136" t="s">
        <v>157</v>
      </c>
      <c r="E136" t="s">
        <v>75</v>
      </c>
      <c r="F136" t="s">
        <v>30</v>
      </c>
      <c r="G136" t="s">
        <v>25</v>
      </c>
      <c r="H136" t="s">
        <v>218</v>
      </c>
      <c r="I136">
        <v>4</v>
      </c>
      <c r="J136">
        <v>182385</v>
      </c>
      <c r="K136">
        <v>182505</v>
      </c>
      <c r="L136">
        <f>+Table1[[#This Row],[End KM]]-Table1[[#This Row],[Strat KM]]</f>
        <v>120</v>
      </c>
      <c r="M136">
        <v>80</v>
      </c>
      <c r="P136" s="3">
        <f>IF(O136-N136&gt;TIME(12,0,0),O136-N136-TIME(12,0,0),0)</f>
        <v>0.0</v>
      </c>
    </row>
    <row r="137">
      <c r="A137" s="2">
        <v>46281</v>
      </c>
      <c r="B137" t="s">
        <v>112</v>
      </c>
      <c r="C137" t="s">
        <v>210</v>
      </c>
      <c r="D137" t="s">
        <v>87</v>
      </c>
      <c r="E137" t="s">
        <v>103</v>
      </c>
      <c r="F137" t="s">
        <v>30</v>
      </c>
      <c r="G137" t="s">
        <v>36</v>
      </c>
      <c r="H137" t="s">
        <v>200</v>
      </c>
      <c r="I137">
        <v>5</v>
      </c>
      <c r="J137">
        <v>111912</v>
      </c>
      <c r="K137">
        <v>112117</v>
      </c>
      <c r="L137">
        <f>+Table1[[#This Row],[End KM]]-Table1[[#This Row],[Strat KM]]</f>
        <v>205</v>
      </c>
      <c r="M137">
        <v>205</v>
      </c>
      <c r="P137" s="3">
        <f>IF(O137-N137&gt;TIME(12,0,0),O137-N137-TIME(12,0,0),0)</f>
        <v>0.0</v>
      </c>
    </row>
    <row r="138">
      <c r="A138" s="2">
        <v>46281</v>
      </c>
      <c r="B138" t="s">
        <v>245</v>
      </c>
      <c r="C138" t="s">
        <v>57</v>
      </c>
      <c r="D138" t="s">
        <v>199</v>
      </c>
      <c r="E138" t="s">
        <v>103</v>
      </c>
      <c r="F138" t="s">
        <v>30</v>
      </c>
      <c r="G138" t="s">
        <v>99</v>
      </c>
      <c r="H138" t="s">
        <v>76</v>
      </c>
      <c r="I138">
        <v>6</v>
      </c>
      <c r="J138">
        <v>177521</v>
      </c>
      <c r="K138">
        <v>177748</v>
      </c>
      <c r="L138">
        <f>+Table1[[#This Row],[End KM]]-Table1[[#This Row],[Strat KM]]</f>
        <v>227</v>
      </c>
      <c r="M138">
        <v>227</v>
      </c>
      <c r="P138" s="3">
        <f>IF(O138-N138&gt;TIME(12,0,0),O138-N138-TIME(12,0,0),0)</f>
        <v>0.0</v>
      </c>
    </row>
    <row r="139">
      <c r="A139" s="2">
        <v>46281</v>
      </c>
      <c r="B139" t="s">
        <v>164</v>
      </c>
      <c r="C139" t="s">
        <v>101</v>
      </c>
      <c r="D139" t="s">
        <v>83</v>
      </c>
      <c r="E139" t="s">
        <v>75</v>
      </c>
      <c r="F139" t="s">
        <v>30</v>
      </c>
      <c r="G139" t="s">
        <v>152</v>
      </c>
      <c r="H139" t="s">
        <v>228</v>
      </c>
      <c r="I139">
        <v>7</v>
      </c>
      <c r="J139">
        <v>311977</v>
      </c>
      <c r="K139">
        <v>312208</v>
      </c>
      <c r="L139">
        <f>+Table1[[#This Row],[End KM]]-Table1[[#This Row],[Strat KM]]</f>
        <v>231</v>
      </c>
      <c r="M139">
        <v>231</v>
      </c>
      <c r="P139" s="3">
        <f>IF(O139-N139&gt;TIME(12,0,0),O139-N139-TIME(12,0,0),0)</f>
        <v>0.0</v>
      </c>
    </row>
    <row r="140">
      <c r="A140" s="2">
        <v>46281</v>
      </c>
      <c r="B140" t="s">
        <v>53</v>
      </c>
      <c r="C140" t="s">
        <v>123</v>
      </c>
      <c r="D140" t="s">
        <v>102</v>
      </c>
      <c r="E140" t="s">
        <v>102</v>
      </c>
      <c r="F140" t="s">
        <v>19</v>
      </c>
      <c r="G140" t="s">
        <v>88</v>
      </c>
      <c r="H140" t="s">
        <v>119</v>
      </c>
      <c r="J140">
        <v>193404</v>
      </c>
      <c r="K140">
        <v>193828</v>
      </c>
      <c r="L140">
        <f>+Table1[[#This Row],[End KM]]-Table1[[#This Row],[Strat KM]]</f>
        <v>424</v>
      </c>
      <c r="M140">
        <v>424</v>
      </c>
      <c r="P140" s="3">
        <f>IF(O140-N140&gt;TIME(12,0,0),O140-N140-TIME(12,0,0),0)</f>
        <v>0.0</v>
      </c>
    </row>
    <row r="141">
      <c r="A141" s="2">
        <v>46281</v>
      </c>
      <c r="B141" t="s">
        <v>56</v>
      </c>
      <c r="C141" t="s">
        <v>160</v>
      </c>
      <c r="D141" t="s">
        <v>175</v>
      </c>
      <c r="E141" t="s">
        <v>175</v>
      </c>
      <c r="F141" t="s">
        <v>19</v>
      </c>
      <c r="G141" t="s">
        <v>88</v>
      </c>
      <c r="H141" t="s">
        <v>76</v>
      </c>
      <c r="J141">
        <v>234613</v>
      </c>
      <c r="K141">
        <v>234860</v>
      </c>
      <c r="L141">
        <f>+Table1[[#This Row],[End KM]]-Table1[[#This Row],[Strat KM]]</f>
        <v>247</v>
      </c>
      <c r="M141">
        <v>277</v>
      </c>
      <c r="P141" s="3">
        <f>IF(O141-N141&gt;TIME(12,0,0),O141-N141-TIME(12,0,0),0)</f>
        <v>0.0</v>
      </c>
    </row>
    <row r="142">
      <c r="A142" s="2">
        <v>46282</v>
      </c>
      <c r="B142" t="s">
        <v>108</v>
      </c>
      <c r="C142" t="s">
        <v>49</v>
      </c>
      <c r="D142" t="s">
        <v>114</v>
      </c>
      <c r="E142" t="s">
        <v>114</v>
      </c>
      <c r="F142" t="s">
        <v>19</v>
      </c>
      <c r="G142" t="s">
        <v>64</v>
      </c>
      <c r="H142" t="s">
        <v>218</v>
      </c>
      <c r="J142">
        <v>133583</v>
      </c>
      <c r="K142">
        <v>133795</v>
      </c>
      <c r="L142">
        <f>+Table1[[#This Row],[End KM]]-Table1[[#This Row],[Strat KM]]</f>
        <v>212</v>
      </c>
      <c r="M142">
        <v>171</v>
      </c>
      <c r="P142" s="3">
        <f>IF(O142-N142&gt;TIME(12,0,0),O142-N142-TIME(12,0,0),0)</f>
        <v>0.0</v>
      </c>
    </row>
    <row r="143">
      <c r="A143" s="2">
        <v>46282</v>
      </c>
      <c r="B143" t="s">
        <v>43</v>
      </c>
      <c r="C143" t="s">
        <v>165</v>
      </c>
      <c r="D143" t="s">
        <v>110</v>
      </c>
      <c r="E143" t="s">
        <v>110</v>
      </c>
      <c r="F143" t="s">
        <v>19</v>
      </c>
      <c r="G143" t="s">
        <v>88</v>
      </c>
      <c r="H143" t="s">
        <v>133</v>
      </c>
      <c r="J143">
        <v>142073</v>
      </c>
      <c r="K143">
        <v>142537</v>
      </c>
      <c r="L143">
        <f>+Table1[[#This Row],[End KM]]-Table1[[#This Row],[Strat KM]]</f>
        <v>464</v>
      </c>
      <c r="M143">
        <v>464</v>
      </c>
      <c r="P143" s="3">
        <f>IF(O143-N143&gt;TIME(12,0,0),O143-N143-TIME(12,0,0),0)</f>
        <v>0.0</v>
      </c>
    </row>
    <row r="144">
      <c r="A144" s="2">
        <v>46282</v>
      </c>
      <c r="B144" t="s">
        <v>161</v>
      </c>
      <c r="C144" t="s">
        <v>205</v>
      </c>
      <c r="D144" t="s">
        <v>187</v>
      </c>
      <c r="E144" t="s">
        <v>187</v>
      </c>
      <c r="F144" t="s">
        <v>19</v>
      </c>
      <c r="G144" t="s">
        <v>20</v>
      </c>
      <c r="H144" t="s">
        <v>219</v>
      </c>
      <c r="J144">
        <v>174133</v>
      </c>
      <c r="K144">
        <v>174387</v>
      </c>
      <c r="L144">
        <f>+Table1[[#This Row],[End KM]]-Table1[[#This Row],[Strat KM]]</f>
        <v>254</v>
      </c>
      <c r="M144">
        <v>214</v>
      </c>
      <c r="P144" s="3">
        <f>IF(O144-N144&gt;TIME(12,0,0),O144-N144-TIME(12,0,0),0)</f>
        <v>0.0</v>
      </c>
    </row>
    <row r="145">
      <c r="A145" s="2">
        <v>46282</v>
      </c>
      <c r="B145" t="s">
        <v>142</v>
      </c>
      <c r="C145" t="s">
        <v>82</v>
      </c>
      <c r="D145" t="s">
        <v>78</v>
      </c>
      <c r="E145" t="s">
        <v>75</v>
      </c>
      <c r="F145" t="s">
        <v>30</v>
      </c>
      <c r="G145" t="s">
        <v>36</v>
      </c>
      <c r="H145" t="s">
        <v>200</v>
      </c>
      <c r="I145">
        <v>1</v>
      </c>
      <c r="J145">
        <v>196287</v>
      </c>
      <c r="K145">
        <v>196710</v>
      </c>
      <c r="L145">
        <f>+Table1[[#This Row],[End KM]]-Table1[[#This Row],[Strat KM]]</f>
        <v>423</v>
      </c>
      <c r="M145">
        <v>262</v>
      </c>
      <c r="P145" s="3">
        <f>IF(O145-N145&gt;TIME(12,0,0),O145-N145-TIME(12,0,0),0)</f>
        <v>0.0</v>
      </c>
    </row>
    <row r="146">
      <c r="A146" s="2">
        <v>46282</v>
      </c>
      <c r="B146" t="s">
        <v>132</v>
      </c>
      <c r="C146" t="s">
        <v>129</v>
      </c>
      <c r="D146" t="s">
        <v>66</v>
      </c>
      <c r="E146" t="s">
        <v>28</v>
      </c>
      <c r="F146" t="s">
        <v>30</v>
      </c>
      <c r="G146" t="s">
        <v>99</v>
      </c>
      <c r="H146" t="s">
        <v>186</v>
      </c>
      <c r="I146">
        <v>2</v>
      </c>
      <c r="J146">
        <v>284336</v>
      </c>
      <c r="K146">
        <v>284808</v>
      </c>
      <c r="L146">
        <f>+Table1[[#This Row],[End KM]]-Table1[[#This Row],[Strat KM]]</f>
        <v>472</v>
      </c>
      <c r="M146">
        <v>472</v>
      </c>
      <c r="P146" s="3">
        <f>IF(O146-N146&gt;TIME(12,0,0),O146-N146-TIME(12,0,0),0)</f>
        <v>0.0</v>
      </c>
    </row>
    <row r="147">
      <c r="A147" s="2">
        <v>46282</v>
      </c>
      <c r="B147" t="s">
        <v>56</v>
      </c>
      <c r="C147" t="s">
        <v>171</v>
      </c>
      <c r="D147" t="s">
        <v>236</v>
      </c>
      <c r="E147" t="s">
        <v>236</v>
      </c>
      <c r="F147" t="s">
        <v>19</v>
      </c>
      <c r="G147" t="s">
        <v>88</v>
      </c>
      <c r="H147" t="s">
        <v>246</v>
      </c>
      <c r="J147">
        <v>62672</v>
      </c>
      <c r="K147">
        <v>62935</v>
      </c>
      <c r="L147">
        <f>+Table1[[#This Row],[End KM]]-Table1[[#This Row],[Strat KM]]</f>
        <v>263</v>
      </c>
      <c r="M147">
        <v>293</v>
      </c>
      <c r="P147" s="3">
        <f>IF(O147-N147&gt;TIME(12,0,0),O147-N147-TIME(12,0,0),0)</f>
        <v>0.0</v>
      </c>
    </row>
    <row r="148">
      <c r="A148" s="2">
        <v>46282</v>
      </c>
      <c r="B148" t="s">
        <v>105</v>
      </c>
      <c r="C148" t="s">
        <v>151</v>
      </c>
      <c r="D148" t="s">
        <v>45</v>
      </c>
      <c r="E148" t="s">
        <v>45</v>
      </c>
      <c r="F148" t="s">
        <v>19</v>
      </c>
      <c r="G148" t="s">
        <v>95</v>
      </c>
      <c r="H148" t="s">
        <v>247</v>
      </c>
      <c r="J148">
        <v>286334</v>
      </c>
      <c r="K148">
        <v>286541</v>
      </c>
      <c r="L148">
        <f>+Table1[[#This Row],[End KM]]-Table1[[#This Row],[Strat KM]]</f>
        <v>207</v>
      </c>
      <c r="M148">
        <v>207</v>
      </c>
      <c r="P148" s="3">
        <f>IF(O148-N148&gt;TIME(12,0,0),O148-N148-TIME(12,0,0),0)</f>
        <v>0.0</v>
      </c>
    </row>
    <row r="149">
      <c r="A149" s="2">
        <v>46282</v>
      </c>
      <c r="B149" t="s">
        <v>108</v>
      </c>
      <c r="C149" t="s">
        <v>169</v>
      </c>
      <c r="D149" t="s">
        <v>53</v>
      </c>
      <c r="E149" t="s">
        <v>53</v>
      </c>
      <c r="F149" t="s">
        <v>19</v>
      </c>
      <c r="G149" t="s">
        <v>41</v>
      </c>
      <c r="H149" t="s">
        <v>185</v>
      </c>
      <c r="J149">
        <v>293105</v>
      </c>
      <c r="K149">
        <v>293301</v>
      </c>
      <c r="L149">
        <f>+Table1[[#This Row],[End KM]]-Table1[[#This Row],[Strat KM]]</f>
        <v>196</v>
      </c>
      <c r="M149">
        <v>196</v>
      </c>
      <c r="P149" s="3">
        <f>IF(O149-N149&gt;TIME(12,0,0),O149-N149-TIME(12,0,0),0)</f>
        <v>0.0</v>
      </c>
    </row>
    <row r="150">
      <c r="A150" s="2">
        <v>46282</v>
      </c>
      <c r="B150" t="s">
        <v>33</v>
      </c>
      <c r="C150" t="s">
        <v>120</v>
      </c>
      <c r="D150" t="s">
        <v>173</v>
      </c>
      <c r="E150" t="s">
        <v>122</v>
      </c>
      <c r="F150" t="s">
        <v>30</v>
      </c>
      <c r="G150" t="s">
        <v>80</v>
      </c>
      <c r="H150" t="s">
        <v>196</v>
      </c>
      <c r="I150">
        <v>3</v>
      </c>
      <c r="J150">
        <v>284115</v>
      </c>
      <c r="K150">
        <v>284372</v>
      </c>
      <c r="L150">
        <f>+Table1[[#This Row],[End KM]]-Table1[[#This Row],[Strat KM]]</f>
        <v>257</v>
      </c>
      <c r="M150">
        <v>287</v>
      </c>
      <c r="P150" s="3">
        <f>IF(O150-N150&gt;TIME(12,0,0),O150-N150-TIME(12,0,0),0)</f>
        <v>0.0</v>
      </c>
    </row>
    <row r="151">
      <c r="A151" s="2">
        <v>46282</v>
      </c>
      <c r="B151" t="s">
        <v>126</v>
      </c>
      <c r="C151" t="s">
        <v>109</v>
      </c>
      <c r="D151" t="s">
        <v>197</v>
      </c>
      <c r="E151" t="s">
        <v>197</v>
      </c>
      <c r="F151" t="s">
        <v>19</v>
      </c>
      <c r="G151" t="s">
        <v>36</v>
      </c>
      <c r="H151" t="s">
        <v>47</v>
      </c>
      <c r="J151">
        <v>155022</v>
      </c>
      <c r="K151">
        <v>155268</v>
      </c>
      <c r="L151">
        <f>+Table1[[#This Row],[End KM]]-Table1[[#This Row],[Strat KM]]</f>
        <v>246</v>
      </c>
      <c r="M151">
        <v>246</v>
      </c>
      <c r="P151" s="3">
        <f>IF(O151-N151&gt;TIME(12,0,0),O151-N151-TIME(12,0,0),0)</f>
        <v>0.0</v>
      </c>
    </row>
    <row r="152">
      <c r="A152" s="2">
        <v>46284</v>
      </c>
      <c r="B152" t="s">
        <v>174</v>
      </c>
      <c r="C152" t="s">
        <v>101</v>
      </c>
      <c r="D152" t="s">
        <v>40</v>
      </c>
      <c r="E152" t="s">
        <v>40</v>
      </c>
      <c r="F152" t="s">
        <v>19</v>
      </c>
      <c r="G152" t="s">
        <v>144</v>
      </c>
      <c r="H152" t="s">
        <v>226</v>
      </c>
      <c r="J152">
        <v>281218</v>
      </c>
      <c r="K152">
        <v>312484</v>
      </c>
      <c r="L152">
        <f>+Table1[[#This Row],[End KM]]-Table1[[#This Row],[Strat KM]]</f>
        <v>31266</v>
      </c>
      <c r="M152">
        <v>266</v>
      </c>
      <c r="P152" s="3">
        <f>IF(O152-N152&gt;TIME(12,0,0),O152-N152-TIME(12,0,0),0)</f>
        <v>0.0</v>
      </c>
    </row>
    <row r="153">
      <c r="A153" s="2">
        <v>46284</v>
      </c>
      <c r="B153" t="s">
        <v>43</v>
      </c>
      <c r="C153" t="s">
        <v>94</v>
      </c>
      <c r="D153" t="s">
        <v>162</v>
      </c>
      <c r="E153" t="s">
        <v>103</v>
      </c>
      <c r="F153" t="s">
        <v>30</v>
      </c>
      <c r="G153" t="s">
        <v>106</v>
      </c>
      <c r="H153" t="s">
        <v>248</v>
      </c>
      <c r="I153">
        <v>4</v>
      </c>
      <c r="J153">
        <v>221813</v>
      </c>
      <c r="K153">
        <v>222062</v>
      </c>
      <c r="L153">
        <f>+Table1[[#This Row],[End KM]]-Table1[[#This Row],[Strat KM]]</f>
        <v>249</v>
      </c>
      <c r="M153">
        <v>249</v>
      </c>
      <c r="P153" s="3">
        <f>IF(O153-N153&gt;TIME(12,0,0),O153-N153-TIME(12,0,0),0)</f>
        <v>0.0</v>
      </c>
    </row>
    <row r="154">
      <c r="A154" s="2">
        <v>46284</v>
      </c>
      <c r="B154" t="s">
        <v>159</v>
      </c>
      <c r="C154" t="s">
        <v>155</v>
      </c>
      <c r="D154" t="s">
        <v>170</v>
      </c>
      <c r="E154" t="s">
        <v>170</v>
      </c>
      <c r="F154" t="s">
        <v>30</v>
      </c>
      <c r="G154" t="s">
        <v>51</v>
      </c>
      <c r="H154" t="s">
        <v>107</v>
      </c>
      <c r="I154">
        <v>5</v>
      </c>
      <c r="J154">
        <v>290507</v>
      </c>
      <c r="K154">
        <v>290776</v>
      </c>
      <c r="L154">
        <f>+Table1[[#This Row],[End KM]]-Table1[[#This Row],[Strat KM]]</f>
        <v>269</v>
      </c>
      <c r="M154">
        <v>269</v>
      </c>
      <c r="P154" s="3">
        <f>IF(O154-N154&gt;TIME(12,0,0),O154-N154-TIME(12,0,0),0)</f>
        <v>0.0</v>
      </c>
    </row>
    <row r="155">
      <c r="A155" s="2">
        <v>46284</v>
      </c>
      <c r="B155" t="s">
        <v>56</v>
      </c>
      <c r="C155" t="s">
        <v>54</v>
      </c>
      <c r="D155" t="s">
        <v>74</v>
      </c>
      <c r="E155" t="s">
        <v>74</v>
      </c>
      <c r="F155" t="s">
        <v>19</v>
      </c>
      <c r="G155" t="s">
        <v>106</v>
      </c>
      <c r="H155" t="s">
        <v>234</v>
      </c>
      <c r="J155">
        <v>240054</v>
      </c>
      <c r="K155">
        <v>240264</v>
      </c>
      <c r="L155">
        <f>+Table1[[#This Row],[End KM]]-Table1[[#This Row],[Strat KM]]</f>
        <v>210</v>
      </c>
      <c r="M155">
        <v>210</v>
      </c>
      <c r="P155" s="3">
        <f>IF(O155-N155&gt;TIME(12,0,0),O155-N155-TIME(12,0,0),0)</f>
        <v>0.0</v>
      </c>
    </row>
    <row r="156">
      <c r="A156" s="2">
        <v>46284</v>
      </c>
      <c r="B156" t="s">
        <v>229</v>
      </c>
      <c r="C156" t="s">
        <v>123</v>
      </c>
      <c r="D156" t="s">
        <v>18</v>
      </c>
      <c r="E156" t="s">
        <v>18</v>
      </c>
      <c r="F156" t="s">
        <v>19</v>
      </c>
      <c r="G156" t="s">
        <v>60</v>
      </c>
      <c r="H156" t="s">
        <v>186</v>
      </c>
      <c r="J156">
        <v>193828</v>
      </c>
      <c r="K156">
        <v>194054</v>
      </c>
      <c r="L156">
        <f>+Table1[[#This Row],[End KM]]-Table1[[#This Row],[Strat KM]]</f>
        <v>226</v>
      </c>
      <c r="M156">
        <v>226</v>
      </c>
      <c r="P156" s="3">
        <f>IF(O156-N156&gt;TIME(12,0,0),O156-N156-TIME(12,0,0),0)</f>
        <v>0.0</v>
      </c>
    </row>
    <row r="157">
      <c r="A157" s="2">
        <v>46284</v>
      </c>
      <c r="B157" t="s">
        <v>33</v>
      </c>
      <c r="C157" t="s">
        <v>167</v>
      </c>
      <c r="D157" t="s">
        <v>224</v>
      </c>
      <c r="E157" t="s">
        <v>136</v>
      </c>
      <c r="F157" t="s">
        <v>30</v>
      </c>
      <c r="G157" t="s">
        <v>64</v>
      </c>
      <c r="H157" t="s">
        <v>249</v>
      </c>
      <c r="I157">
        <v>6</v>
      </c>
      <c r="J157">
        <v>234699</v>
      </c>
      <c r="K157">
        <v>235165</v>
      </c>
      <c r="L157">
        <f>+Table1[[#This Row],[End KM]]-Table1[[#This Row],[Strat KM]]</f>
        <v>466</v>
      </c>
      <c r="M157">
        <v>466</v>
      </c>
      <c r="P157" s="3">
        <f>IF(O157-N157&gt;TIME(12,0,0),O157-N157-TIME(12,0,0),0)</f>
        <v>0.0</v>
      </c>
    </row>
    <row r="158">
      <c r="A158" s="2">
        <v>46284</v>
      </c>
      <c r="B158" t="s">
        <v>250</v>
      </c>
      <c r="C158" t="s">
        <v>49</v>
      </c>
      <c r="D158" t="s">
        <v>85</v>
      </c>
      <c r="E158" t="s">
        <v>85</v>
      </c>
      <c r="F158" t="s">
        <v>19</v>
      </c>
      <c r="G158" t="s">
        <v>106</v>
      </c>
      <c r="H158" t="s">
        <v>76</v>
      </c>
      <c r="J158">
        <v>133795</v>
      </c>
      <c r="K158">
        <v>134049</v>
      </c>
      <c r="L158">
        <f>+Table1[[#This Row],[End KM]]-Table1[[#This Row],[Strat KM]]</f>
        <v>254</v>
      </c>
      <c r="M158">
        <v>275</v>
      </c>
      <c r="P158" s="3">
        <f>IF(O158-N158&gt;TIME(12,0,0),O158-N158-TIME(12,0,0),0)</f>
        <v>0.0</v>
      </c>
    </row>
    <row r="159">
      <c r="A159" s="2">
        <v>46284</v>
      </c>
      <c r="B159" t="s">
        <v>161</v>
      </c>
      <c r="C159" t="s">
        <v>160</v>
      </c>
      <c r="D159" t="s">
        <v>251</v>
      </c>
      <c r="E159" t="s">
        <v>252</v>
      </c>
      <c r="F159" t="s">
        <v>30</v>
      </c>
      <c r="G159" t="s">
        <v>64</v>
      </c>
      <c r="H159" t="s">
        <v>253</v>
      </c>
      <c r="I159">
        <v>7</v>
      </c>
      <c r="J159">
        <v>234860</v>
      </c>
      <c r="K159">
        <v>235126</v>
      </c>
      <c r="L159">
        <f>+Table1[[#This Row],[End KM]]-Table1[[#This Row],[Strat KM]]</f>
        <v>266</v>
      </c>
      <c r="M159">
        <v>266</v>
      </c>
      <c r="P159" s="3">
        <f>IF(O159-N159&gt;TIME(12,0,0),O159-N159-TIME(12,0,0),0)</f>
        <v>0.0</v>
      </c>
    </row>
    <row r="160">
      <c r="A160" s="2">
        <v>46284</v>
      </c>
      <c r="B160" t="s">
        <v>159</v>
      </c>
      <c r="C160" t="s">
        <v>231</v>
      </c>
      <c r="D160" t="s">
        <v>254</v>
      </c>
      <c r="E160" t="s">
        <v>254</v>
      </c>
      <c r="F160" t="s">
        <v>19</v>
      </c>
      <c r="G160" t="s">
        <v>41</v>
      </c>
      <c r="H160" t="s">
        <v>255</v>
      </c>
      <c r="J160">
        <v>216795</v>
      </c>
      <c r="K160">
        <v>217056</v>
      </c>
      <c r="L160">
        <f>+Table1[[#This Row],[End KM]]-Table1[[#This Row],[Strat KM]]</f>
        <v>261</v>
      </c>
      <c r="M160">
        <v>291</v>
      </c>
      <c r="P160" s="3">
        <f>IF(O160-N160&gt;TIME(12,0,0),O160-N160-TIME(12,0,0),0)</f>
        <v>0.0</v>
      </c>
    </row>
    <row r="161">
      <c r="A161" s="2">
        <v>46284</v>
      </c>
      <c r="B161" t="s">
        <v>220</v>
      </c>
      <c r="C161" t="s">
        <v>184</v>
      </c>
      <c r="D161" t="s">
        <v>83</v>
      </c>
      <c r="E161" t="s">
        <v>83</v>
      </c>
      <c r="F161" t="s">
        <v>19</v>
      </c>
      <c r="G161" t="s">
        <v>64</v>
      </c>
      <c r="H161" t="s">
        <v>93</v>
      </c>
      <c r="J161">
        <v>175044</v>
      </c>
      <c r="K161">
        <v>175279</v>
      </c>
      <c r="L161">
        <f>+Table1[[#This Row],[End KM]]-Table1[[#This Row],[Strat KM]]</f>
        <v>235</v>
      </c>
      <c r="M161">
        <v>235</v>
      </c>
      <c r="P161" s="3">
        <f>IF(O161-N161&gt;TIME(12,0,0),O161-N161-TIME(12,0,0),0)</f>
        <v>0.0</v>
      </c>
    </row>
    <row r="162">
      <c r="A162" s="2">
        <v>46285</v>
      </c>
      <c r="B162" t="s">
        <v>164</v>
      </c>
      <c r="C162" t="s">
        <v>231</v>
      </c>
      <c r="D162" t="s">
        <v>125</v>
      </c>
      <c r="E162" t="s">
        <v>103</v>
      </c>
      <c r="F162" t="s">
        <v>30</v>
      </c>
      <c r="G162" t="s">
        <v>55</v>
      </c>
      <c r="H162" t="s">
        <v>185</v>
      </c>
      <c r="I162">
        <v>1</v>
      </c>
      <c r="J162">
        <v>217106</v>
      </c>
      <c r="K162">
        <v>217355</v>
      </c>
      <c r="L162">
        <f>+Table1[[#This Row],[End KM]]-Table1[[#This Row],[Strat KM]]</f>
        <v>249</v>
      </c>
      <c r="M162">
        <v>249</v>
      </c>
      <c r="P162" s="3">
        <f>IF(O162-N162&gt;TIME(12,0,0),O162-N162-TIME(12,0,0),0)</f>
        <v>0.0</v>
      </c>
    </row>
    <row r="163">
      <c r="A163" s="2">
        <v>46285</v>
      </c>
      <c r="B163" t="s">
        <v>183</v>
      </c>
      <c r="C163" t="s">
        <v>165</v>
      </c>
      <c r="D163" t="s">
        <v>131</v>
      </c>
      <c r="E163" t="s">
        <v>131</v>
      </c>
      <c r="F163" t="s">
        <v>19</v>
      </c>
      <c r="G163" t="s">
        <v>51</v>
      </c>
      <c r="H163" t="s">
        <v>81</v>
      </c>
      <c r="J163">
        <v>142537</v>
      </c>
      <c r="K163">
        <v>142658</v>
      </c>
      <c r="L163">
        <f>+Table1[[#This Row],[End KM]]-Table1[[#This Row],[Strat KM]]</f>
        <v>121</v>
      </c>
      <c r="M163">
        <v>121</v>
      </c>
      <c r="P163" s="3">
        <f>IF(O163-N163&gt;TIME(12,0,0),O163-N163-TIME(12,0,0),0)</f>
        <v>0.0</v>
      </c>
    </row>
    <row r="164">
      <c r="A164" s="2">
        <v>46285</v>
      </c>
      <c r="B164" t="s">
        <v>126</v>
      </c>
      <c r="C164" t="s">
        <v>23</v>
      </c>
      <c r="D164" t="s">
        <v>74</v>
      </c>
      <c r="E164" t="s">
        <v>74</v>
      </c>
      <c r="F164" t="s">
        <v>19</v>
      </c>
      <c r="G164" t="s">
        <v>41</v>
      </c>
      <c r="H164" t="s">
        <v>37</v>
      </c>
      <c r="J164">
        <v>115682</v>
      </c>
      <c r="K164">
        <v>115940</v>
      </c>
      <c r="L164">
        <f>+Table1[[#This Row],[End KM]]-Table1[[#This Row],[Strat KM]]</f>
        <v>258</v>
      </c>
      <c r="M164">
        <v>258</v>
      </c>
      <c r="P164" s="3">
        <f>IF(O164-N164&gt;TIME(12,0,0),O164-N164-TIME(12,0,0),0)</f>
        <v>0.0</v>
      </c>
    </row>
    <row r="165">
      <c r="A165" s="2">
        <v>46285</v>
      </c>
      <c r="B165" t="s">
        <v>178</v>
      </c>
      <c r="C165" t="s">
        <v>82</v>
      </c>
      <c r="D165" t="s">
        <v>45</v>
      </c>
      <c r="E165" t="s">
        <v>45</v>
      </c>
      <c r="F165" t="s">
        <v>19</v>
      </c>
      <c r="G165" t="s">
        <v>64</v>
      </c>
      <c r="H165" t="s">
        <v>37</v>
      </c>
      <c r="J165">
        <v>196710</v>
      </c>
      <c r="K165">
        <v>197176</v>
      </c>
      <c r="L165">
        <f>+Table1[[#This Row],[End KM]]-Table1[[#This Row],[Strat KM]]</f>
        <v>466</v>
      </c>
      <c r="M165">
        <v>466</v>
      </c>
      <c r="P165" s="3">
        <f>IF(O165-N165&gt;TIME(12,0,0),O165-N165-TIME(12,0,0),0)</f>
        <v>0.0</v>
      </c>
    </row>
    <row r="166">
      <c r="A166" s="2">
        <v>46285</v>
      </c>
      <c r="B166" t="s">
        <v>159</v>
      </c>
      <c r="C166" t="s">
        <v>116</v>
      </c>
      <c r="D166" t="s">
        <v>24</v>
      </c>
      <c r="E166" t="s">
        <v>103</v>
      </c>
      <c r="F166" t="s">
        <v>30</v>
      </c>
      <c r="G166" t="s">
        <v>60</v>
      </c>
      <c r="H166" t="s">
        <v>226</v>
      </c>
      <c r="I166">
        <v>2</v>
      </c>
      <c r="J166">
        <v>217132</v>
      </c>
      <c r="K166">
        <v>217333</v>
      </c>
      <c r="L166">
        <f>+Table1[[#This Row],[End KM]]-Table1[[#This Row],[Strat KM]]</f>
        <v>201</v>
      </c>
      <c r="M166">
        <v>231</v>
      </c>
      <c r="P166" s="3">
        <f>IF(O166-N166&gt;TIME(12,0,0),O166-N166-TIME(12,0,0),0)</f>
        <v>0.0</v>
      </c>
    </row>
    <row r="167">
      <c r="A167" s="2">
        <v>46285</v>
      </c>
      <c r="B167" t="s">
        <v>149</v>
      </c>
      <c r="C167" t="s">
        <v>86</v>
      </c>
      <c r="D167" t="s">
        <v>87</v>
      </c>
      <c r="E167" t="s">
        <v>103</v>
      </c>
      <c r="F167" t="s">
        <v>30</v>
      </c>
      <c r="G167" t="s">
        <v>20</v>
      </c>
      <c r="H167" t="s">
        <v>76</v>
      </c>
      <c r="I167">
        <v>3</v>
      </c>
      <c r="J167">
        <v>219816</v>
      </c>
      <c r="K167">
        <v>220028</v>
      </c>
      <c r="L167">
        <f>+Table1[[#This Row],[End KM]]-Table1[[#This Row],[Strat KM]]</f>
        <v>212</v>
      </c>
      <c r="M167">
        <v>212</v>
      </c>
      <c r="P167" s="3">
        <f>IF(O167-N167&gt;TIME(12,0,0),O167-N167-TIME(12,0,0),0)</f>
        <v>0.0</v>
      </c>
    </row>
    <row r="168">
      <c r="A168" s="2">
        <v>46285</v>
      </c>
      <c r="B168" t="s">
        <v>178</v>
      </c>
      <c r="C168" t="s">
        <v>94</v>
      </c>
      <c r="D168" t="s">
        <v>114</v>
      </c>
      <c r="E168" t="s">
        <v>75</v>
      </c>
      <c r="F168" t="s">
        <v>30</v>
      </c>
      <c r="G168" t="s">
        <v>41</v>
      </c>
      <c r="H168" t="s">
        <v>76</v>
      </c>
      <c r="I168">
        <v>4</v>
      </c>
      <c r="J168">
        <v>222112</v>
      </c>
      <c r="K168">
        <v>222379</v>
      </c>
      <c r="L168">
        <f>+Table1[[#This Row],[End KM]]-Table1[[#This Row],[Strat KM]]</f>
        <v>267</v>
      </c>
      <c r="M168">
        <v>267</v>
      </c>
      <c r="P168" s="3">
        <f>IF(O168-N168&gt;TIME(12,0,0),O168-N168-TIME(12,0,0),0)</f>
        <v>0.0</v>
      </c>
    </row>
    <row r="169">
      <c r="A169" s="2">
        <v>46285</v>
      </c>
      <c r="B169" t="s">
        <v>43</v>
      </c>
      <c r="C169" t="s">
        <v>57</v>
      </c>
      <c r="D169" t="s">
        <v>256</v>
      </c>
      <c r="E169" t="s">
        <v>256</v>
      </c>
      <c r="F169" t="s">
        <v>19</v>
      </c>
      <c r="G169" t="s">
        <v>51</v>
      </c>
      <c r="H169" t="s">
        <v>47</v>
      </c>
      <c r="J169">
        <v>177758</v>
      </c>
      <c r="K169">
        <v>177999</v>
      </c>
      <c r="L169">
        <f>+Table1[[#This Row],[End KM]]-Table1[[#This Row],[Strat KM]]</f>
        <v>241</v>
      </c>
      <c r="M169">
        <v>273</v>
      </c>
      <c r="P169" s="3">
        <f>IF(O169-N169&gt;TIME(12,0,0),O169-N169-TIME(12,0,0),0)</f>
        <v>0.0</v>
      </c>
    </row>
    <row r="170">
      <c r="A170" s="2">
        <v>46285</v>
      </c>
      <c r="B170" t="s">
        <v>72</v>
      </c>
      <c r="C170" t="s">
        <v>27</v>
      </c>
      <c r="D170" t="s">
        <v>204</v>
      </c>
      <c r="E170" t="s">
        <v>204</v>
      </c>
      <c r="F170" t="s">
        <v>19</v>
      </c>
      <c r="G170" t="s">
        <v>60</v>
      </c>
      <c r="H170" t="s">
        <v>42</v>
      </c>
      <c r="J170">
        <v>182515</v>
      </c>
      <c r="K170">
        <v>182984</v>
      </c>
      <c r="L170">
        <f>+Table1[[#This Row],[End KM]]-Table1[[#This Row],[Strat KM]]</f>
        <v>469</v>
      </c>
      <c r="M170">
        <v>469</v>
      </c>
      <c r="P170" s="3">
        <f>IF(O170-N170&gt;TIME(12,0,0),O170-N170-TIME(12,0,0),0)</f>
        <v>0.0</v>
      </c>
    </row>
    <row r="171">
      <c r="A171" s="2">
        <v>46286</v>
      </c>
      <c r="B171" t="s">
        <v>33</v>
      </c>
      <c r="D171" t="s">
        <v>83</v>
      </c>
      <c r="E171" t="s">
        <v>103</v>
      </c>
      <c r="F171" t="s">
        <v>30</v>
      </c>
      <c r="G171" t="s">
        <v>25</v>
      </c>
      <c r="H171" t="s">
        <v>76</v>
      </c>
      <c r="I171">
        <v>5</v>
      </c>
      <c r="J171">
        <v>115940</v>
      </c>
      <c r="K171">
        <v>116171</v>
      </c>
      <c r="L171">
        <f>+Table1[[#This Row],[End KM]]-Table1[[#This Row],[Strat KM]]</f>
        <v>231</v>
      </c>
      <c r="M171">
        <v>231</v>
      </c>
      <c r="P171" s="3">
        <f>IF(O171-N171&gt;TIME(12,0,0),O171-N171-TIME(12,0,0),0)</f>
        <v>0.0</v>
      </c>
    </row>
    <row r="172">
      <c r="A172" s="2">
        <v>46286</v>
      </c>
      <c r="B172" t="s">
        <v>62</v>
      </c>
      <c r="C172" t="s">
        <v>160</v>
      </c>
      <c r="D172" t="s">
        <v>87</v>
      </c>
      <c r="E172" t="s">
        <v>117</v>
      </c>
      <c r="F172" t="s">
        <v>30</v>
      </c>
      <c r="G172" t="s">
        <v>51</v>
      </c>
      <c r="H172" t="s">
        <v>257</v>
      </c>
      <c r="I172">
        <v>6</v>
      </c>
      <c r="J172">
        <v>235126</v>
      </c>
      <c r="K172">
        <v>235323</v>
      </c>
      <c r="L172">
        <f>+Table1[[#This Row],[End KM]]-Table1[[#This Row],[Strat KM]]</f>
        <v>197</v>
      </c>
      <c r="M172">
        <v>157</v>
      </c>
      <c r="P172" s="3">
        <f>IF(O172-N172&gt;TIME(12,0,0),O172-N172-TIME(12,0,0),0)</f>
        <v>0.0</v>
      </c>
    </row>
    <row r="173">
      <c r="A173" s="2">
        <v>46286</v>
      </c>
      <c r="B173" t="s">
        <v>201</v>
      </c>
      <c r="C173" t="s">
        <v>212</v>
      </c>
      <c r="D173" t="s">
        <v>156</v>
      </c>
      <c r="E173" t="s">
        <v>156</v>
      </c>
      <c r="F173" t="s">
        <v>19</v>
      </c>
      <c r="G173" t="s">
        <v>46</v>
      </c>
      <c r="H173" t="s">
        <v>37</v>
      </c>
      <c r="J173">
        <v>84809</v>
      </c>
      <c r="K173">
        <v>85018</v>
      </c>
      <c r="L173">
        <f>+Table1[[#This Row],[End KM]]-Table1[[#This Row],[Strat KM]]</f>
        <v>209</v>
      </c>
      <c r="M173">
        <v>209</v>
      </c>
      <c r="P173" s="3">
        <f>IF(O173-N173&gt;TIME(12,0,0),O173-N173-TIME(12,0,0),0)</f>
        <v>0.0</v>
      </c>
    </row>
    <row r="174">
      <c r="A174" s="2">
        <v>46286</v>
      </c>
      <c r="B174" t="s">
        <v>164</v>
      </c>
      <c r="C174" t="s">
        <v>39</v>
      </c>
      <c r="D174" t="s">
        <v>174</v>
      </c>
      <c r="E174" t="s">
        <v>78</v>
      </c>
      <c r="F174" t="s">
        <v>30</v>
      </c>
      <c r="G174" t="s">
        <v>36</v>
      </c>
      <c r="H174" t="s">
        <v>37</v>
      </c>
      <c r="I174">
        <v>7</v>
      </c>
      <c r="J174">
        <v>181291</v>
      </c>
      <c r="K174">
        <v>181718</v>
      </c>
      <c r="L174">
        <f>+Table1[[#This Row],[End KM]]-Table1[[#This Row],[Strat KM]]</f>
        <v>427</v>
      </c>
      <c r="M174">
        <v>427</v>
      </c>
      <c r="P174" s="3">
        <f>IF(O174-N174&gt;TIME(12,0,0),O174-N174-TIME(12,0,0),0)</f>
        <v>0.0</v>
      </c>
    </row>
    <row r="175">
      <c r="A175" s="2">
        <v>46286</v>
      </c>
      <c r="B175" t="s">
        <v>43</v>
      </c>
      <c r="C175" t="s">
        <v>140</v>
      </c>
      <c r="D175" t="s">
        <v>156</v>
      </c>
      <c r="E175" t="s">
        <v>103</v>
      </c>
      <c r="F175" t="s">
        <v>30</v>
      </c>
      <c r="G175" t="s">
        <v>144</v>
      </c>
      <c r="H175" t="s">
        <v>257</v>
      </c>
      <c r="I175">
        <v>1</v>
      </c>
      <c r="J175">
        <v>278450</v>
      </c>
      <c r="K175">
        <v>278911</v>
      </c>
      <c r="L175">
        <f>+Table1[[#This Row],[End KM]]-Table1[[#This Row],[Strat KM]]</f>
        <v>461</v>
      </c>
      <c r="M175">
        <v>461</v>
      </c>
      <c r="P175" s="3">
        <f>IF(O175-N175&gt;TIME(12,0,0),O175-N175-TIME(12,0,0),0)</f>
        <v>0.0</v>
      </c>
    </row>
    <row r="176">
      <c r="A176" s="2">
        <v>46286</v>
      </c>
      <c r="B176" t="s">
        <v>220</v>
      </c>
      <c r="C176" t="s">
        <v>86</v>
      </c>
      <c r="D176" t="s">
        <v>43</v>
      </c>
      <c r="E176" t="s">
        <v>75</v>
      </c>
      <c r="F176" t="s">
        <v>30</v>
      </c>
      <c r="G176" t="s">
        <v>88</v>
      </c>
      <c r="H176" t="s">
        <v>76</v>
      </c>
      <c r="I176">
        <v>2</v>
      </c>
      <c r="J176">
        <v>220028</v>
      </c>
      <c r="K176">
        <v>220229</v>
      </c>
      <c r="L176">
        <f>+Table1[[#This Row],[End KM]]-Table1[[#This Row],[Strat KM]]</f>
        <v>201</v>
      </c>
      <c r="M176">
        <v>201</v>
      </c>
      <c r="P176" s="3">
        <f>IF(O176-N176&gt;TIME(12,0,0),O176-N176-TIME(12,0,0),0)</f>
        <v>0.0</v>
      </c>
    </row>
    <row r="177">
      <c r="A177" s="2">
        <v>46286</v>
      </c>
      <c r="B177" t="s">
        <v>131</v>
      </c>
      <c r="C177" t="s">
        <v>77</v>
      </c>
      <c r="D177" t="s">
        <v>98</v>
      </c>
      <c r="E177" t="s">
        <v>98</v>
      </c>
      <c r="F177" t="s">
        <v>19</v>
      </c>
      <c r="G177" t="s">
        <v>106</v>
      </c>
      <c r="H177" t="s">
        <v>37</v>
      </c>
      <c r="J177">
        <v>282043</v>
      </c>
      <c r="K177">
        <v>282278</v>
      </c>
      <c r="L177">
        <f>+Table1[[#This Row],[End KM]]-Table1[[#This Row],[Strat KM]]</f>
        <v>235</v>
      </c>
      <c r="M177">
        <v>235</v>
      </c>
      <c r="P177" s="3">
        <f>IF(O177-N177&gt;TIME(12,0,0),O177-N177-TIME(12,0,0),0)</f>
        <v>0.0</v>
      </c>
    </row>
    <row r="178">
      <c r="A178" s="2">
        <v>46286</v>
      </c>
      <c r="B178" t="s">
        <v>139</v>
      </c>
      <c r="C178" t="s">
        <v>184</v>
      </c>
      <c r="D178" t="s">
        <v>78</v>
      </c>
      <c r="E178" t="s">
        <v>78</v>
      </c>
      <c r="F178" t="s">
        <v>19</v>
      </c>
      <c r="G178" t="s">
        <v>99</v>
      </c>
      <c r="H178" t="s">
        <v>37</v>
      </c>
      <c r="J178">
        <v>175289</v>
      </c>
      <c r="K178">
        <v>175549</v>
      </c>
      <c r="L178">
        <f>+Table1[[#This Row],[End KM]]-Table1[[#This Row],[Strat KM]]</f>
        <v>260</v>
      </c>
      <c r="M178">
        <v>260</v>
      </c>
      <c r="P178" s="3">
        <f>IF(O178-N178&gt;TIME(12,0,0),O178-N178-TIME(12,0,0),0)</f>
        <v>0.0</v>
      </c>
    </row>
    <row r="179">
      <c r="A179" s="2">
        <v>46286</v>
      </c>
      <c r="B179" t="s">
        <v>48</v>
      </c>
      <c r="C179" t="s">
        <v>239</v>
      </c>
      <c r="D179" t="s">
        <v>157</v>
      </c>
      <c r="E179" t="s">
        <v>157</v>
      </c>
      <c r="F179" t="s">
        <v>19</v>
      </c>
      <c r="G179" t="s">
        <v>55</v>
      </c>
      <c r="H179" t="s">
        <v>76</v>
      </c>
      <c r="J179">
        <v>61230</v>
      </c>
      <c r="K179">
        <v>61436</v>
      </c>
      <c r="L179">
        <f>+Table1[[#This Row],[End KM]]-Table1[[#This Row],[Strat KM]]</f>
        <v>206</v>
      </c>
      <c r="M179">
        <v>206</v>
      </c>
      <c r="P179" s="3">
        <f>IF(O179-N179&gt;TIME(12,0,0),O179-N179-TIME(12,0,0),0)</f>
        <v>0.0</v>
      </c>
    </row>
    <row r="180">
      <c r="A180" s="2">
        <v>46287</v>
      </c>
      <c r="B180" t="s">
        <v>172</v>
      </c>
      <c r="C180" t="s">
        <v>39</v>
      </c>
      <c r="D180" t="s">
        <v>85</v>
      </c>
      <c r="E180" t="s">
        <v>85</v>
      </c>
      <c r="F180" t="s">
        <v>19</v>
      </c>
      <c r="G180" t="s">
        <v>99</v>
      </c>
      <c r="H180" t="s">
        <v>249</v>
      </c>
      <c r="J180">
        <v>181612</v>
      </c>
      <c r="K180">
        <v>181995</v>
      </c>
      <c r="L180">
        <f>+Table1[[#This Row],[End KM]]-Table1[[#This Row],[Strat KM]]</f>
        <v>383</v>
      </c>
      <c r="M180">
        <v>227</v>
      </c>
      <c r="P180" s="3">
        <f>IF(O180-N180&gt;TIME(12,0,0),O180-N180-TIME(12,0,0),0)</f>
        <v>0.0</v>
      </c>
    </row>
    <row r="181">
      <c r="A181" s="2">
        <v>46287</v>
      </c>
      <c r="B181" t="s">
        <v>211</v>
      </c>
      <c r="C181" t="s">
        <v>23</v>
      </c>
      <c r="D181" t="s">
        <v>70</v>
      </c>
      <c r="E181" t="s">
        <v>166</v>
      </c>
      <c r="F181" t="s">
        <v>30</v>
      </c>
      <c r="G181" t="s">
        <v>143</v>
      </c>
      <c r="H181" t="s">
        <v>218</v>
      </c>
      <c r="I181">
        <v>3</v>
      </c>
      <c r="J181">
        <v>116171</v>
      </c>
      <c r="K181">
        <v>116423</v>
      </c>
      <c r="L181">
        <f>+Table1[[#This Row],[End KM]]-Table1[[#This Row],[Strat KM]]</f>
        <v>252</v>
      </c>
      <c r="M181">
        <v>252</v>
      </c>
      <c r="P181" s="3">
        <f>IF(O181-N181&gt;TIME(12,0,0),O181-N181-TIME(12,0,0),0)</f>
        <v>0.0</v>
      </c>
    </row>
    <row r="182">
      <c r="A182" s="2">
        <v>46287</v>
      </c>
      <c r="B182" t="s">
        <v>174</v>
      </c>
      <c r="C182" t="s">
        <v>151</v>
      </c>
      <c r="D182" t="s">
        <v>216</v>
      </c>
      <c r="E182" t="s">
        <v>103</v>
      </c>
      <c r="F182" t="s">
        <v>30</v>
      </c>
      <c r="G182" t="s">
        <v>99</v>
      </c>
      <c r="H182" t="s">
        <v>37</v>
      </c>
      <c r="I182">
        <v>4</v>
      </c>
      <c r="J182">
        <v>286551</v>
      </c>
      <c r="K182">
        <v>286972</v>
      </c>
      <c r="L182">
        <f>+Table1[[#This Row],[End KM]]-Table1[[#This Row],[Strat KM]]</f>
        <v>421</v>
      </c>
      <c r="M182">
        <v>421</v>
      </c>
      <c r="P182" s="3">
        <f>IF(O182-N182&gt;TIME(12,0,0),O182-N182-TIME(12,0,0),0)</f>
        <v>0.0</v>
      </c>
    </row>
    <row r="183">
      <c r="A183" s="2">
        <v>46287</v>
      </c>
      <c r="B183" t="s">
        <v>238</v>
      </c>
      <c r="D183" t="s">
        <v>147</v>
      </c>
      <c r="E183" t="s">
        <v>147</v>
      </c>
      <c r="F183" t="s">
        <v>19</v>
      </c>
      <c r="G183" t="s">
        <v>92</v>
      </c>
      <c r="H183" t="s">
        <v>179</v>
      </c>
      <c r="L183">
        <f>+Table1[[#This Row],[End KM]]-Table1[[#This Row],[Strat KM]]</f>
        <v>0</v>
      </c>
      <c r="P183" s="3">
        <f>IF(O183-N183&gt;TIME(12,0,0),O183-N183-TIME(12,0,0),0)</f>
        <v>0.0</v>
      </c>
    </row>
    <row r="184">
      <c r="A184" s="2">
        <v>46287</v>
      </c>
      <c r="B184" t="s">
        <v>131</v>
      </c>
      <c r="C184" t="s">
        <v>189</v>
      </c>
      <c r="D184" t="s">
        <v>87</v>
      </c>
      <c r="E184" t="s">
        <v>103</v>
      </c>
      <c r="F184" t="s">
        <v>30</v>
      </c>
      <c r="G184" t="s">
        <v>152</v>
      </c>
      <c r="H184" t="s">
        <v>37</v>
      </c>
      <c r="I184">
        <v>5</v>
      </c>
      <c r="J184">
        <v>247692</v>
      </c>
      <c r="K184">
        <v>248023</v>
      </c>
      <c r="L184">
        <f>+Table1[[#This Row],[End KM]]-Table1[[#This Row],[Strat KM]]</f>
        <v>331</v>
      </c>
      <c r="M184">
        <v>242</v>
      </c>
      <c r="P184" s="3">
        <f>IF(O184-N184&gt;TIME(12,0,0),O184-N184-TIME(12,0,0),0)</f>
        <v>0.0</v>
      </c>
    </row>
    <row r="185">
      <c r="A185" s="2">
        <v>46287</v>
      </c>
      <c r="B185" t="s">
        <v>16</v>
      </c>
      <c r="C185" t="s">
        <v>212</v>
      </c>
      <c r="D185" t="s">
        <v>256</v>
      </c>
      <c r="E185" t="s">
        <v>256</v>
      </c>
      <c r="F185" t="s">
        <v>19</v>
      </c>
      <c r="G185" t="s">
        <v>67</v>
      </c>
      <c r="H185" t="s">
        <v>176</v>
      </c>
      <c r="J185">
        <v>85068</v>
      </c>
      <c r="K185">
        <v>85277</v>
      </c>
      <c r="L185">
        <f>+Table1[[#This Row],[End KM]]-Table1[[#This Row],[Strat KM]]</f>
        <v>209</v>
      </c>
      <c r="M185">
        <v>209</v>
      </c>
      <c r="P185" s="3">
        <f>IF(O185-N185&gt;TIME(12,0,0),O185-N185-TIME(12,0,0),0)</f>
        <v>0.0</v>
      </c>
    </row>
    <row r="186">
      <c r="A186" s="2">
        <v>46287</v>
      </c>
      <c r="B186" t="s">
        <v>126</v>
      </c>
      <c r="C186" t="s">
        <v>17</v>
      </c>
      <c r="D186" t="s">
        <v>147</v>
      </c>
      <c r="E186" t="s">
        <v>147</v>
      </c>
      <c r="F186" t="s">
        <v>19</v>
      </c>
      <c r="G186" t="s">
        <v>46</v>
      </c>
      <c r="H186" t="s">
        <v>228</v>
      </c>
      <c r="J186">
        <v>209839</v>
      </c>
      <c r="K186">
        <v>210090</v>
      </c>
      <c r="L186">
        <f>+Table1[[#This Row],[End KM]]-Table1[[#This Row],[Strat KM]]</f>
        <v>251</v>
      </c>
      <c r="M186">
        <v>251</v>
      </c>
      <c r="P186" s="3">
        <f>IF(O186-N186&gt;TIME(12,0,0),O186-N186-TIME(12,0,0),0)</f>
        <v>0.0</v>
      </c>
    </row>
    <row r="187">
      <c r="A187" s="2">
        <v>46287</v>
      </c>
      <c r="B187" t="s">
        <v>229</v>
      </c>
      <c r="C187" t="s">
        <v>97</v>
      </c>
      <c r="D187" t="s">
        <v>40</v>
      </c>
      <c r="E187" t="s">
        <v>103</v>
      </c>
      <c r="F187" t="s">
        <v>30</v>
      </c>
      <c r="G187" t="s">
        <v>92</v>
      </c>
      <c r="H187" t="s">
        <v>37</v>
      </c>
      <c r="I187">
        <v>6</v>
      </c>
      <c r="J187">
        <v>126637</v>
      </c>
      <c r="K187">
        <v>126893</v>
      </c>
      <c r="L187">
        <f>+Table1[[#This Row],[End KM]]-Table1[[#This Row],[Strat KM]]</f>
        <v>256</v>
      </c>
      <c r="M187">
        <v>256</v>
      </c>
      <c r="P187" s="3">
        <f>IF(O187-N187&gt;TIME(12,0,0),O187-N187-TIME(12,0,0),0)</f>
        <v>0.0</v>
      </c>
    </row>
    <row r="188">
      <c r="A188" s="2">
        <v>46287</v>
      </c>
      <c r="B188" t="s">
        <v>258</v>
      </c>
      <c r="C188" t="s">
        <v>94</v>
      </c>
      <c r="D188" t="s">
        <v>164</v>
      </c>
      <c r="E188" t="s">
        <v>103</v>
      </c>
      <c r="F188" t="s">
        <v>30</v>
      </c>
      <c r="G188" t="s">
        <v>41</v>
      </c>
      <c r="H188" t="s">
        <v>107</v>
      </c>
      <c r="I188">
        <v>7</v>
      </c>
      <c r="J188">
        <v>222379</v>
      </c>
      <c r="K188">
        <v>222592</v>
      </c>
      <c r="L188">
        <f>+Table1[[#This Row],[End KM]]-Table1[[#This Row],[Strat KM]]</f>
        <v>213</v>
      </c>
      <c r="M188">
        <v>213</v>
      </c>
      <c r="P188" s="3">
        <f>IF(O188-N188&gt;TIME(12,0,0),O188-N188-TIME(12,0,0),0)</f>
        <v>0.0</v>
      </c>
    </row>
    <row r="189">
      <c r="A189" s="2">
        <v>46288</v>
      </c>
      <c r="B189" t="s">
        <v>259</v>
      </c>
      <c r="C189" t="s">
        <v>116</v>
      </c>
      <c r="D189" t="s">
        <v>197</v>
      </c>
      <c r="E189" t="s">
        <v>260</v>
      </c>
      <c r="F189" t="s">
        <v>30</v>
      </c>
      <c r="G189" t="s">
        <v>55</v>
      </c>
      <c r="H189" t="s">
        <v>42</v>
      </c>
      <c r="I189">
        <v>1</v>
      </c>
      <c r="J189">
        <v>217333</v>
      </c>
      <c r="K189">
        <v>217536</v>
      </c>
      <c r="L189">
        <f>+Table1[[#This Row],[End KM]]-Table1[[#This Row],[Strat KM]]</f>
        <v>203</v>
      </c>
      <c r="M189">
        <v>203</v>
      </c>
      <c r="P189" s="3">
        <f>IF(O189-N189&gt;TIME(12,0,0),O189-N189-TIME(12,0,0),0)</f>
        <v>0.0</v>
      </c>
    </row>
    <row r="190">
      <c r="A190" s="2">
        <v>46288</v>
      </c>
      <c r="B190" t="s">
        <v>85</v>
      </c>
      <c r="C190" t="s">
        <v>154</v>
      </c>
      <c r="D190" t="s">
        <v>74</v>
      </c>
      <c r="E190" t="s">
        <v>74</v>
      </c>
      <c r="F190" t="s">
        <v>19</v>
      </c>
      <c r="G190" t="s">
        <v>143</v>
      </c>
      <c r="H190" t="s">
        <v>242</v>
      </c>
      <c r="J190">
        <v>289229</v>
      </c>
      <c r="K190">
        <v>289481</v>
      </c>
      <c r="L190">
        <f>+Table1[[#This Row],[End KM]]-Table1[[#This Row],[Strat KM]]</f>
        <v>252</v>
      </c>
      <c r="M190">
        <v>252</v>
      </c>
      <c r="P190" s="3">
        <f>IF(O190-N190&gt;TIME(12,0,0),O190-N190-TIME(12,0,0),0)</f>
        <v>0.0</v>
      </c>
    </row>
    <row r="191">
      <c r="A191" s="2">
        <v>46288</v>
      </c>
      <c r="B191" t="s">
        <v>105</v>
      </c>
      <c r="C191" t="s">
        <v>49</v>
      </c>
      <c r="D191" t="s">
        <v>74</v>
      </c>
      <c r="E191" t="s">
        <v>74</v>
      </c>
      <c r="F191" t="s">
        <v>19</v>
      </c>
      <c r="G191" t="s">
        <v>46</v>
      </c>
      <c r="H191" t="s">
        <v>200</v>
      </c>
      <c r="J191">
        <v>134099</v>
      </c>
      <c r="K191">
        <v>134305</v>
      </c>
      <c r="L191">
        <f>+Table1[[#This Row],[End KM]]-Table1[[#This Row],[Strat KM]]</f>
        <v>206</v>
      </c>
      <c r="M191">
        <v>206</v>
      </c>
      <c r="P191" s="3">
        <f>IF(O191-N191&gt;TIME(12,0,0),O191-N191-TIME(12,0,0),0)</f>
        <v>0.0</v>
      </c>
    </row>
    <row r="192">
      <c r="A192" s="2">
        <v>46288</v>
      </c>
      <c r="B192" t="s">
        <v>178</v>
      </c>
      <c r="C192" t="s">
        <v>17</v>
      </c>
      <c r="D192" t="s">
        <v>71</v>
      </c>
      <c r="E192" t="s">
        <v>71</v>
      </c>
      <c r="F192" t="s">
        <v>19</v>
      </c>
      <c r="G192" t="s">
        <v>95</v>
      </c>
      <c r="H192" t="s">
        <v>107</v>
      </c>
      <c r="J192">
        <v>210090</v>
      </c>
      <c r="K192">
        <v>210517</v>
      </c>
      <c r="L192">
        <f>+Table1[[#This Row],[End KM]]-Table1[[#This Row],[Strat KM]]</f>
        <v>427</v>
      </c>
      <c r="M192">
        <v>427</v>
      </c>
      <c r="P192" s="3">
        <f>IF(O192-N192&gt;TIME(12,0,0),O192-N192-TIME(12,0,0),0)</f>
        <v>0.0</v>
      </c>
    </row>
    <row r="193">
      <c r="A193" s="2">
        <v>46288</v>
      </c>
      <c r="B193" t="s">
        <v>24</v>
      </c>
      <c r="C193" t="s">
        <v>54</v>
      </c>
      <c r="D193" t="s">
        <v>164</v>
      </c>
      <c r="E193" t="s">
        <v>103</v>
      </c>
      <c r="F193" t="s">
        <v>30</v>
      </c>
      <c r="G193" t="s">
        <v>55</v>
      </c>
      <c r="H193" t="s">
        <v>141</v>
      </c>
      <c r="I193">
        <v>2</v>
      </c>
      <c r="J193">
        <v>240264</v>
      </c>
      <c r="K193">
        <v>240392</v>
      </c>
      <c r="L193">
        <f>+Table1[[#This Row],[End KM]]-Table1[[#This Row],[Strat KM]]</f>
        <v>128</v>
      </c>
      <c r="M193">
        <v>128</v>
      </c>
      <c r="P193" s="3">
        <f>IF(O193-N193&gt;TIME(12,0,0),O193-N193-TIME(12,0,0),0)</f>
        <v>0.0</v>
      </c>
    </row>
    <row r="194">
      <c r="A194" s="2">
        <v>46288</v>
      </c>
      <c r="B194" t="s">
        <v>172</v>
      </c>
      <c r="C194" t="s">
        <v>165</v>
      </c>
      <c r="D194" t="s">
        <v>98</v>
      </c>
      <c r="E194" t="s">
        <v>103</v>
      </c>
      <c r="F194" t="s">
        <v>30</v>
      </c>
      <c r="G194" t="s">
        <v>152</v>
      </c>
      <c r="H194" t="s">
        <v>76</v>
      </c>
      <c r="I194">
        <v>3</v>
      </c>
      <c r="J194">
        <v>142668</v>
      </c>
      <c r="K194">
        <v>142900</v>
      </c>
      <c r="L194">
        <f>+Table1[[#This Row],[End KM]]-Table1[[#This Row],[Strat KM]]</f>
        <v>232</v>
      </c>
      <c r="M194">
        <v>253</v>
      </c>
      <c r="P194" s="3">
        <f>IF(O194-N194&gt;TIME(12,0,0),O194-N194-TIME(12,0,0),0)</f>
        <v>0.0</v>
      </c>
    </row>
    <row r="195">
      <c r="A195" s="2">
        <v>46288</v>
      </c>
      <c r="B195" t="s">
        <v>142</v>
      </c>
      <c r="C195" t="s">
        <v>94</v>
      </c>
      <c r="D195" t="s">
        <v>157</v>
      </c>
      <c r="E195" t="s">
        <v>103</v>
      </c>
      <c r="F195" t="s">
        <v>30</v>
      </c>
      <c r="G195" t="s">
        <v>20</v>
      </c>
      <c r="H195" t="s">
        <v>218</v>
      </c>
      <c r="I195">
        <v>4</v>
      </c>
      <c r="J195">
        <v>222592</v>
      </c>
      <c r="K195">
        <v>222709</v>
      </c>
      <c r="L195">
        <f>+Table1[[#This Row],[End KM]]-Table1[[#This Row],[Strat KM]]</f>
        <v>117</v>
      </c>
      <c r="M195">
        <v>138</v>
      </c>
      <c r="P195" s="3">
        <f>IF(O195-N195&gt;TIME(12,0,0),O195-N195-TIME(12,0,0),0)</f>
        <v>0.0</v>
      </c>
    </row>
    <row r="196">
      <c r="A196" s="2">
        <v>46288</v>
      </c>
      <c r="B196" t="s">
        <v>139</v>
      </c>
      <c r="C196" t="s">
        <v>63</v>
      </c>
      <c r="D196" t="s">
        <v>147</v>
      </c>
      <c r="E196" t="s">
        <v>147</v>
      </c>
      <c r="F196" t="s">
        <v>19</v>
      </c>
      <c r="G196" t="s">
        <v>92</v>
      </c>
      <c r="H196" t="s">
        <v>127</v>
      </c>
      <c r="J196">
        <v>170657</v>
      </c>
      <c r="K196">
        <v>171071</v>
      </c>
      <c r="L196">
        <f>+Table1[[#This Row],[End KM]]-Table1[[#This Row],[Strat KM]]</f>
        <v>414</v>
      </c>
      <c r="M196">
        <v>374</v>
      </c>
      <c r="P196" s="3">
        <f>IF(O196-N196&gt;TIME(12,0,0),O196-N196-TIME(12,0,0),0)</f>
        <v>0.0</v>
      </c>
    </row>
    <row r="197">
      <c r="A197" s="2">
        <v>46288</v>
      </c>
      <c r="B197" t="s">
        <v>53</v>
      </c>
      <c r="C197" t="s">
        <v>160</v>
      </c>
      <c r="D197" t="s">
        <v>85</v>
      </c>
      <c r="E197" t="s">
        <v>85</v>
      </c>
      <c r="F197" t="s">
        <v>19</v>
      </c>
      <c r="G197" t="s">
        <v>95</v>
      </c>
      <c r="H197" t="s">
        <v>37</v>
      </c>
      <c r="J197">
        <v>235333</v>
      </c>
      <c r="K197">
        <v>235539</v>
      </c>
      <c r="L197">
        <f>+Table1[[#This Row],[End KM]]-Table1[[#This Row],[Strat KM]]</f>
        <v>206</v>
      </c>
      <c r="M197">
        <v>206</v>
      </c>
      <c r="P197" s="3">
        <f>IF(O197-N197&gt;TIME(12,0,0),O197-N197-TIME(12,0,0),0)</f>
        <v>0.0</v>
      </c>
    </row>
    <row r="198">
      <c r="A198" s="2">
        <v>46289</v>
      </c>
      <c r="B198" t="s">
        <v>174</v>
      </c>
      <c r="C198" t="s">
        <v>193</v>
      </c>
      <c r="D198" t="s">
        <v>24</v>
      </c>
      <c r="E198" t="s">
        <v>74</v>
      </c>
      <c r="F198" t="s">
        <v>30</v>
      </c>
      <c r="G198" t="s">
        <v>20</v>
      </c>
      <c r="H198" t="s">
        <v>257</v>
      </c>
      <c r="I198">
        <v>5</v>
      </c>
      <c r="J198">
        <v>182158</v>
      </c>
      <c r="K198">
        <v>182362</v>
      </c>
      <c r="L198">
        <f>+Table1[[#This Row],[End KM]]-Table1[[#This Row],[Strat KM]]</f>
        <v>204</v>
      </c>
      <c r="M198">
        <v>225</v>
      </c>
      <c r="P198" s="3">
        <f>IF(O198-N198&gt;TIME(12,0,0),O198-N198-TIME(12,0,0),0)</f>
        <v>0.0</v>
      </c>
    </row>
    <row r="199">
      <c r="A199" s="2">
        <v>46289</v>
      </c>
      <c r="B199" t="s">
        <v>132</v>
      </c>
      <c r="C199" t="s">
        <v>116</v>
      </c>
      <c r="D199" t="s">
        <v>254</v>
      </c>
      <c r="E199" t="s">
        <v>254</v>
      </c>
      <c r="F199" t="s">
        <v>19</v>
      </c>
      <c r="G199" t="s">
        <v>46</v>
      </c>
      <c r="H199" t="s">
        <v>93</v>
      </c>
      <c r="J199">
        <v>217536</v>
      </c>
      <c r="K199">
        <v>217952</v>
      </c>
      <c r="L199">
        <f>+Table1[[#This Row],[End KM]]-Table1[[#This Row],[Strat KM]]</f>
        <v>416</v>
      </c>
      <c r="M199">
        <v>416</v>
      </c>
      <c r="P199" s="3">
        <f>IF(O199-N199&gt;TIME(12,0,0),O199-N199-TIME(12,0,0),0)</f>
        <v>0.0</v>
      </c>
    </row>
    <row r="200">
      <c r="A200" s="2">
        <v>46289</v>
      </c>
      <c r="B200" t="s">
        <v>131</v>
      </c>
      <c r="C200" t="s">
        <v>97</v>
      </c>
      <c r="D200" t="s">
        <v>50</v>
      </c>
      <c r="E200" t="s">
        <v>50</v>
      </c>
      <c r="F200" t="s">
        <v>19</v>
      </c>
      <c r="G200" t="s">
        <v>152</v>
      </c>
      <c r="H200" t="s">
        <v>76</v>
      </c>
      <c r="J200">
        <v>126893</v>
      </c>
      <c r="K200">
        <v>127126</v>
      </c>
      <c r="L200">
        <f>+Table1[[#This Row],[End KM]]-Table1[[#This Row],[Strat KM]]</f>
        <v>233</v>
      </c>
      <c r="M200">
        <v>233</v>
      </c>
      <c r="P200" s="3">
        <f>IF(O200-N200&gt;TIME(12,0,0),O200-N200-TIME(12,0,0),0)</f>
        <v>0.0</v>
      </c>
    </row>
    <row r="201">
      <c r="A201" s="2">
        <v>46289</v>
      </c>
      <c r="B201" t="s">
        <v>164</v>
      </c>
      <c r="C201" t="s">
        <v>27</v>
      </c>
      <c r="D201" t="s">
        <v>85</v>
      </c>
      <c r="E201" t="s">
        <v>85</v>
      </c>
      <c r="F201" t="s">
        <v>19</v>
      </c>
      <c r="G201" t="s">
        <v>144</v>
      </c>
      <c r="H201" t="s">
        <v>261</v>
      </c>
      <c r="J201">
        <v>182994</v>
      </c>
      <c r="K201">
        <v>183226</v>
      </c>
      <c r="L201">
        <f>+Table1[[#This Row],[End KM]]-Table1[[#This Row],[Strat KM]]</f>
        <v>232</v>
      </c>
      <c r="M201">
        <v>232</v>
      </c>
      <c r="P201" s="3">
        <f>IF(O201-N201&gt;TIME(12,0,0),O201-N201-TIME(12,0,0),0)</f>
        <v>0.0</v>
      </c>
    </row>
    <row r="202">
      <c r="A202" s="2">
        <v>46289</v>
      </c>
      <c r="B202" t="s">
        <v>24</v>
      </c>
      <c r="C202" t="s">
        <v>160</v>
      </c>
      <c r="D202" t="s">
        <v>125</v>
      </c>
      <c r="E202" t="s">
        <v>125</v>
      </c>
      <c r="F202" t="s">
        <v>19</v>
      </c>
      <c r="G202" t="s">
        <v>25</v>
      </c>
      <c r="H202" t="s">
        <v>179</v>
      </c>
      <c r="J202">
        <v>235539</v>
      </c>
      <c r="K202">
        <v>235748</v>
      </c>
      <c r="L202">
        <f>+Table1[[#This Row],[End KM]]-Table1[[#This Row],[Strat KM]]</f>
        <v>209</v>
      </c>
      <c r="M202">
        <v>209</v>
      </c>
      <c r="P202" s="3">
        <f>IF(O202-N202&gt;TIME(12,0,0),O202-N202-TIME(12,0,0),0)</f>
        <v>0.0</v>
      </c>
    </row>
    <row r="203">
      <c r="A203" s="2">
        <v>46289</v>
      </c>
      <c r="B203" t="s">
        <v>135</v>
      </c>
      <c r="C203" t="s">
        <v>23</v>
      </c>
      <c r="D203" t="s">
        <v>43</v>
      </c>
      <c r="E203" t="s">
        <v>75</v>
      </c>
      <c r="F203" t="s">
        <v>30</v>
      </c>
      <c r="G203" t="s">
        <v>88</v>
      </c>
      <c r="H203" t="s">
        <v>93</v>
      </c>
      <c r="I203">
        <v>6</v>
      </c>
      <c r="J203">
        <v>116423</v>
      </c>
      <c r="K203">
        <v>116650</v>
      </c>
      <c r="L203">
        <f>+Table1[[#This Row],[End KM]]-Table1[[#This Row],[Strat KM]]</f>
        <v>227</v>
      </c>
      <c r="M203">
        <v>227</v>
      </c>
      <c r="P203" s="3">
        <f>IF(O203-N203&gt;TIME(12,0,0),O203-N203-TIME(12,0,0),0)</f>
        <v>0.0</v>
      </c>
    </row>
    <row r="204">
      <c r="A204" s="2">
        <v>46289</v>
      </c>
      <c r="B204" t="s">
        <v>56</v>
      </c>
      <c r="C204" t="s">
        <v>169</v>
      </c>
      <c r="D204" t="s">
        <v>136</v>
      </c>
      <c r="E204" t="s">
        <v>136</v>
      </c>
      <c r="F204" t="s">
        <v>19</v>
      </c>
      <c r="G204" t="s">
        <v>67</v>
      </c>
      <c r="H204" t="s">
        <v>37</v>
      </c>
      <c r="J204">
        <v>293301</v>
      </c>
      <c r="K204">
        <v>293530</v>
      </c>
      <c r="L204">
        <f>+Table1[[#This Row],[End KM]]-Table1[[#This Row],[Strat KM]]</f>
        <v>229</v>
      </c>
      <c r="M204">
        <v>229</v>
      </c>
      <c r="P204" s="3">
        <f>IF(O204-N204&gt;TIME(12,0,0),O204-N204-TIME(12,0,0),0)</f>
        <v>0.0</v>
      </c>
    </row>
    <row r="205">
      <c r="A205" s="2">
        <v>46289</v>
      </c>
      <c r="B205" t="s">
        <v>131</v>
      </c>
      <c r="C205" t="s">
        <v>140</v>
      </c>
      <c r="D205" t="s">
        <v>43</v>
      </c>
      <c r="E205" t="s">
        <v>43</v>
      </c>
      <c r="F205" t="s">
        <v>19</v>
      </c>
      <c r="G205" t="s">
        <v>51</v>
      </c>
      <c r="H205" t="s">
        <v>76</v>
      </c>
      <c r="J205">
        <v>278911</v>
      </c>
      <c r="K205">
        <v>279157</v>
      </c>
      <c r="L205">
        <f>+Table1[[#This Row],[End KM]]-Table1[[#This Row],[Strat KM]]</f>
        <v>246</v>
      </c>
      <c r="M205">
        <v>246</v>
      </c>
      <c r="P205" s="3">
        <f>IF(O205-N205&gt;TIME(12,0,0),O205-N205-TIME(12,0,0),0)</f>
        <v>0.0</v>
      </c>
    </row>
    <row r="206">
      <c r="A206" s="2">
        <v>46289</v>
      </c>
      <c r="B206" t="s">
        <v>122</v>
      </c>
      <c r="C206" t="s">
        <v>123</v>
      </c>
      <c r="D206" t="s">
        <v>83</v>
      </c>
      <c r="E206" t="s">
        <v>83</v>
      </c>
      <c r="F206" t="s">
        <v>19</v>
      </c>
      <c r="G206" t="s">
        <v>144</v>
      </c>
      <c r="H206" t="s">
        <v>76</v>
      </c>
      <c r="J206">
        <v>194054</v>
      </c>
      <c r="K206">
        <v>194515</v>
      </c>
      <c r="L206">
        <f>+Table1[[#This Row],[End KM]]-Table1[[#This Row],[Strat KM]]</f>
        <v>461</v>
      </c>
      <c r="M206">
        <v>461</v>
      </c>
      <c r="P206" s="3">
        <f>IF(O206-N206&gt;TIME(12,0,0),O206-N206-TIME(12,0,0),0)</f>
        <v>0.0</v>
      </c>
    </row>
    <row r="207">
      <c r="A207" s="2">
        <v>46291</v>
      </c>
      <c r="B207" t="s">
        <v>126</v>
      </c>
      <c r="C207" t="s">
        <v>113</v>
      </c>
      <c r="D207" t="s">
        <v>45</v>
      </c>
      <c r="E207" t="s">
        <v>45</v>
      </c>
      <c r="F207" t="s">
        <v>19</v>
      </c>
      <c r="G207" t="s">
        <v>152</v>
      </c>
      <c r="H207" t="s">
        <v>177</v>
      </c>
      <c r="J207">
        <v>75021</v>
      </c>
      <c r="K207">
        <v>75272</v>
      </c>
      <c r="L207">
        <f>+Table1[[#This Row],[End KM]]-Table1[[#This Row],[Strat KM]]</f>
        <v>251</v>
      </c>
      <c r="M207">
        <v>251</v>
      </c>
      <c r="P207" s="3">
        <f>IF(O207-N207&gt;TIME(12,0,0),O207-N207-TIME(12,0,0),0)</f>
        <v>0.0</v>
      </c>
    </row>
    <row r="208">
      <c r="A208" s="2">
        <v>46291</v>
      </c>
      <c r="B208" t="s">
        <v>135</v>
      </c>
      <c r="C208" t="s">
        <v>231</v>
      </c>
      <c r="D208" t="s">
        <v>72</v>
      </c>
      <c r="E208" t="s">
        <v>72</v>
      </c>
      <c r="F208" t="s">
        <v>19</v>
      </c>
      <c r="G208" t="s">
        <v>144</v>
      </c>
      <c r="H208" t="s">
        <v>134</v>
      </c>
      <c r="J208">
        <v>217405</v>
      </c>
      <c r="K208">
        <v>217618</v>
      </c>
      <c r="L208">
        <f>+Table1[[#This Row],[End KM]]-Table1[[#This Row],[Strat KM]]</f>
        <v>213</v>
      </c>
      <c r="M208">
        <v>213</v>
      </c>
      <c r="P208" s="3">
        <f>IF(O208-N208&gt;TIME(12,0,0),O208-N208-TIME(12,0,0),0)</f>
        <v>0.0</v>
      </c>
    </row>
    <row r="209">
      <c r="A209" s="2">
        <v>46291</v>
      </c>
      <c r="B209" t="s">
        <v>85</v>
      </c>
      <c r="C209" t="s">
        <v>123</v>
      </c>
      <c r="D209" t="s">
        <v>53</v>
      </c>
      <c r="E209" t="s">
        <v>53</v>
      </c>
      <c r="F209" t="s">
        <v>19</v>
      </c>
      <c r="G209" t="s">
        <v>64</v>
      </c>
      <c r="H209" t="s">
        <v>202</v>
      </c>
      <c r="J209">
        <v>194525</v>
      </c>
      <c r="K209">
        <v>194771</v>
      </c>
      <c r="L209">
        <f>+Table1[[#This Row],[End KM]]-Table1[[#This Row],[Strat KM]]</f>
        <v>246</v>
      </c>
      <c r="M209">
        <v>246</v>
      </c>
      <c r="P209" s="3">
        <f>IF(O209-N209&gt;TIME(12,0,0),O209-N209-TIME(12,0,0),0)</f>
        <v>0.0</v>
      </c>
    </row>
    <row r="210">
      <c r="A210" s="2">
        <v>46291</v>
      </c>
      <c r="B210" t="s">
        <v>183</v>
      </c>
      <c r="C210" t="s">
        <v>140</v>
      </c>
      <c r="D210" t="s">
        <v>166</v>
      </c>
      <c r="E210" t="s">
        <v>166</v>
      </c>
      <c r="F210" t="s">
        <v>19</v>
      </c>
      <c r="G210" t="s">
        <v>144</v>
      </c>
      <c r="H210" t="s">
        <v>127</v>
      </c>
      <c r="J210">
        <v>279157</v>
      </c>
      <c r="K210">
        <v>279427</v>
      </c>
      <c r="L210">
        <f>+Table1[[#This Row],[End KM]]-Table1[[#This Row],[Strat KM]]</f>
        <v>270</v>
      </c>
      <c r="M210">
        <v>291</v>
      </c>
      <c r="P210" s="3">
        <f>IF(O210-N210&gt;TIME(12,0,0),O210-N210-TIME(12,0,0),0)</f>
        <v>0.0</v>
      </c>
    </row>
    <row r="211">
      <c r="A211" s="2">
        <v>46291</v>
      </c>
      <c r="B211" t="s">
        <v>220</v>
      </c>
      <c r="C211" t="s">
        <v>205</v>
      </c>
      <c r="D211" t="s">
        <v>187</v>
      </c>
      <c r="E211" t="s">
        <v>187</v>
      </c>
      <c r="F211" t="s">
        <v>19</v>
      </c>
      <c r="G211" t="s">
        <v>31</v>
      </c>
      <c r="H211" t="s">
        <v>37</v>
      </c>
      <c r="J211">
        <v>174397</v>
      </c>
      <c r="K211">
        <v>174656</v>
      </c>
      <c r="L211">
        <f>+Table1[[#This Row],[End KM]]-Table1[[#This Row],[Strat KM]]</f>
        <v>259</v>
      </c>
      <c r="M211">
        <v>259</v>
      </c>
      <c r="P211" s="3">
        <f>IF(O211-N211&gt;TIME(12,0,0),O211-N211-TIME(12,0,0),0)</f>
        <v>0.0</v>
      </c>
    </row>
    <row r="212">
      <c r="A212" s="2">
        <v>46291</v>
      </c>
      <c r="B212" t="s">
        <v>100</v>
      </c>
      <c r="C212" t="s">
        <v>239</v>
      </c>
      <c r="D212" t="s">
        <v>71</v>
      </c>
      <c r="E212" t="s">
        <v>136</v>
      </c>
      <c r="F212" t="s">
        <v>30</v>
      </c>
      <c r="G212" t="s">
        <v>51</v>
      </c>
      <c r="H212" t="s">
        <v>148</v>
      </c>
      <c r="I212">
        <v>7</v>
      </c>
      <c r="J212">
        <v>61436</v>
      </c>
      <c r="K212">
        <v>61907</v>
      </c>
      <c r="L212">
        <f>+Table1[[#This Row],[End KM]]-Table1[[#This Row],[Strat KM]]</f>
        <v>471</v>
      </c>
      <c r="M212">
        <v>439</v>
      </c>
      <c r="P212" s="3">
        <f>IF(O212-N212&gt;TIME(12,0,0),O212-N212-TIME(12,0,0),0)</f>
        <v>0.0</v>
      </c>
    </row>
    <row r="213">
      <c r="A213" s="2">
        <v>46291</v>
      </c>
      <c r="B213" t="s">
        <v>183</v>
      </c>
      <c r="C213" t="s">
        <v>54</v>
      </c>
      <c r="D213" t="s">
        <v>199</v>
      </c>
      <c r="E213" t="s">
        <v>262</v>
      </c>
      <c r="F213" t="s">
        <v>30</v>
      </c>
      <c r="G213" t="s">
        <v>106</v>
      </c>
      <c r="H213" t="s">
        <v>76</v>
      </c>
      <c r="I213">
        <v>1</v>
      </c>
      <c r="J213">
        <v>240442</v>
      </c>
      <c r="K213">
        <v>240905</v>
      </c>
      <c r="L213">
        <f>+Table1[[#This Row],[End KM]]-Table1[[#This Row],[Strat KM]]</f>
        <v>463</v>
      </c>
      <c r="M213">
        <v>463</v>
      </c>
      <c r="P213" s="3">
        <f>IF(O213-N213&gt;TIME(12,0,0),O213-N213-TIME(12,0,0),0)</f>
        <v>0.0</v>
      </c>
    </row>
    <row r="214">
      <c r="A214" s="2">
        <v>46291</v>
      </c>
      <c r="B214" t="s">
        <v>172</v>
      </c>
      <c r="C214" t="s">
        <v>118</v>
      </c>
      <c r="D214" t="s">
        <v>117</v>
      </c>
      <c r="E214" t="s">
        <v>75</v>
      </c>
      <c r="F214" t="s">
        <v>30</v>
      </c>
      <c r="G214" t="s">
        <v>55</v>
      </c>
      <c r="H214" t="s">
        <v>237</v>
      </c>
      <c r="I214">
        <v>2</v>
      </c>
      <c r="L214">
        <f>+Table1[[#This Row],[End KM]]-Table1[[#This Row],[Strat KM]]</f>
        <v>0</v>
      </c>
      <c r="P214" s="3">
        <f>IF(O214-N214&gt;TIME(12,0,0),O214-N214-TIME(12,0,0),0)</f>
        <v>0.0</v>
      </c>
    </row>
    <row r="215">
      <c r="A215" s="2">
        <v>46291</v>
      </c>
      <c r="B215" t="s">
        <v>131</v>
      </c>
      <c r="C215" t="s">
        <v>151</v>
      </c>
      <c r="D215" t="s">
        <v>204</v>
      </c>
      <c r="E215" t="s">
        <v>204</v>
      </c>
      <c r="F215" t="s">
        <v>19</v>
      </c>
      <c r="G215" t="s">
        <v>55</v>
      </c>
      <c r="H215" t="s">
        <v>247</v>
      </c>
      <c r="J215">
        <v>286972</v>
      </c>
      <c r="K215">
        <v>287391</v>
      </c>
      <c r="L215">
        <f>+Table1[[#This Row],[End KM]]-Table1[[#This Row],[Strat KM]]</f>
        <v>419</v>
      </c>
      <c r="M215">
        <v>379</v>
      </c>
      <c r="P215" s="3">
        <f>IF(O215-N215&gt;TIME(12,0,0),O215-N215-TIME(12,0,0),0)</f>
        <v>0.0</v>
      </c>
    </row>
    <row r="216">
      <c r="A216" s="2">
        <v>46292</v>
      </c>
      <c r="B216" t="s">
        <v>263</v>
      </c>
      <c r="C216" t="s">
        <v>94</v>
      </c>
      <c r="D216" t="s">
        <v>224</v>
      </c>
      <c r="E216" t="s">
        <v>224</v>
      </c>
      <c r="F216" t="s">
        <v>19</v>
      </c>
      <c r="G216" t="s">
        <v>106</v>
      </c>
      <c r="H216" t="s">
        <v>219</v>
      </c>
      <c r="L216">
        <f>+Table1[[#This Row],[End KM]]-Table1[[#This Row],[Strat KM]]</f>
        <v>0</v>
      </c>
      <c r="P216" s="3">
        <f>IF(O216-N216&gt;TIME(12,0,0),O216-N216-TIME(12,0,0),0)</f>
        <v>0.0</v>
      </c>
    </row>
    <row r="217">
      <c r="A217" s="2">
        <v>46292</v>
      </c>
      <c r="B217" t="s">
        <v>201</v>
      </c>
      <c r="C217" t="s">
        <v>129</v>
      </c>
      <c r="D217" t="s">
        <v>24</v>
      </c>
      <c r="E217" t="s">
        <v>24</v>
      </c>
      <c r="F217" t="s">
        <v>19</v>
      </c>
      <c r="G217" t="s">
        <v>51</v>
      </c>
      <c r="H217" t="s">
        <v>107</v>
      </c>
      <c r="J217">
        <v>284808</v>
      </c>
      <c r="K217">
        <v>285037</v>
      </c>
      <c r="L217">
        <f>+Table1[[#This Row],[End KM]]-Table1[[#This Row],[Strat KM]]</f>
        <v>229</v>
      </c>
      <c r="M217">
        <v>229</v>
      </c>
      <c r="P217" s="3">
        <f>IF(O217-N217&gt;TIME(12,0,0),O217-N217-TIME(12,0,0),0)</f>
        <v>0.0</v>
      </c>
    </row>
    <row r="218">
      <c r="A218" s="2">
        <v>46292</v>
      </c>
      <c r="B218" t="s">
        <v>172</v>
      </c>
      <c r="C218" t="s">
        <v>123</v>
      </c>
      <c r="D218" t="s">
        <v>254</v>
      </c>
      <c r="E218" t="s">
        <v>254</v>
      </c>
      <c r="F218" t="s">
        <v>19</v>
      </c>
      <c r="G218" t="s">
        <v>64</v>
      </c>
      <c r="H218" t="s">
        <v>37</v>
      </c>
      <c r="J218">
        <v>194771</v>
      </c>
      <c r="K218">
        <v>195026</v>
      </c>
      <c r="L218">
        <f>+Table1[[#This Row],[End KM]]-Table1[[#This Row],[Strat KM]]</f>
        <v>255</v>
      </c>
      <c r="M218">
        <v>215</v>
      </c>
      <c r="P218" s="3">
        <f>IF(O218-N218&gt;TIME(12,0,0),O218-N218-TIME(12,0,0),0)</f>
        <v>0.0</v>
      </c>
    </row>
    <row r="219">
      <c r="A219" s="2">
        <v>46292</v>
      </c>
      <c r="B219" t="s">
        <v>56</v>
      </c>
      <c r="C219" t="s">
        <v>116</v>
      </c>
      <c r="D219" t="s">
        <v>251</v>
      </c>
      <c r="E219" t="s">
        <v>251</v>
      </c>
      <c r="F219" t="s">
        <v>19</v>
      </c>
      <c r="G219" t="s">
        <v>67</v>
      </c>
      <c r="H219" t="s">
        <v>76</v>
      </c>
      <c r="J219">
        <v>217962</v>
      </c>
      <c r="K219">
        <v>218232</v>
      </c>
      <c r="L219">
        <f>+Table1[[#This Row],[End KM]]-Table1[[#This Row],[Strat KM]]</f>
        <v>270</v>
      </c>
      <c r="M219">
        <v>270</v>
      </c>
      <c r="P219" s="3">
        <f>IF(O219-N219&gt;TIME(12,0,0),O219-N219-TIME(12,0,0),0)</f>
        <v>0.0</v>
      </c>
    </row>
    <row r="220">
      <c r="A220" s="2">
        <v>46292</v>
      </c>
      <c r="B220" t="s">
        <v>263</v>
      </c>
      <c r="C220" t="s">
        <v>151</v>
      </c>
      <c r="D220" t="s">
        <v>78</v>
      </c>
      <c r="E220" t="s">
        <v>78</v>
      </c>
      <c r="F220" t="s">
        <v>19</v>
      </c>
      <c r="G220" t="s">
        <v>36</v>
      </c>
      <c r="H220" t="s">
        <v>76</v>
      </c>
      <c r="J220">
        <v>287401</v>
      </c>
      <c r="K220">
        <v>287631</v>
      </c>
      <c r="L220">
        <f>+Table1[[#This Row],[End KM]]-Table1[[#This Row],[Strat KM]]</f>
        <v>230</v>
      </c>
      <c r="M220">
        <v>190</v>
      </c>
      <c r="P220" s="3">
        <f>IF(O220-N220&gt;TIME(12,0,0),O220-N220-TIME(12,0,0),0)</f>
        <v>0.0</v>
      </c>
    </row>
    <row r="221">
      <c r="A221" s="2">
        <v>46292</v>
      </c>
      <c r="B221" t="s">
        <v>264</v>
      </c>
      <c r="C221" t="s">
        <v>210</v>
      </c>
      <c r="D221" t="s">
        <v>173</v>
      </c>
      <c r="E221" t="s">
        <v>173</v>
      </c>
      <c r="F221" t="s">
        <v>19</v>
      </c>
      <c r="G221" t="s">
        <v>152</v>
      </c>
      <c r="H221" t="s">
        <v>163</v>
      </c>
      <c r="J221">
        <v>112167</v>
      </c>
      <c r="K221">
        <v>112419</v>
      </c>
      <c r="L221">
        <f>+Table1[[#This Row],[End KM]]-Table1[[#This Row],[Strat KM]]</f>
        <v>252</v>
      </c>
      <c r="M221">
        <v>252</v>
      </c>
      <c r="P221" s="3">
        <f>IF(O221-N221&gt;TIME(12,0,0),O221-N221-TIME(12,0,0),0)</f>
        <v>0.0</v>
      </c>
    </row>
    <row r="222">
      <c r="A222" s="2">
        <v>46292</v>
      </c>
      <c r="B222" t="s">
        <v>62</v>
      </c>
      <c r="C222" t="s">
        <v>167</v>
      </c>
      <c r="D222" t="s">
        <v>53</v>
      </c>
      <c r="E222" t="s">
        <v>53</v>
      </c>
      <c r="F222" t="s">
        <v>19</v>
      </c>
      <c r="G222" t="s">
        <v>55</v>
      </c>
      <c r="H222" t="s">
        <v>26</v>
      </c>
      <c r="J222">
        <v>235175</v>
      </c>
      <c r="K222">
        <v>235599</v>
      </c>
      <c r="L222">
        <f>+Table1[[#This Row],[End KM]]-Table1[[#This Row],[Strat KM]]</f>
        <v>424</v>
      </c>
      <c r="M222">
        <v>392</v>
      </c>
      <c r="P222" s="3">
        <f>IF(O222-N222&gt;TIME(12,0,0),O222-N222-TIME(12,0,0),0)</f>
        <v>0.0</v>
      </c>
    </row>
    <row r="223">
      <c r="A223" s="2">
        <v>46292</v>
      </c>
      <c r="B223" t="s">
        <v>85</v>
      </c>
      <c r="C223" t="s">
        <v>212</v>
      </c>
      <c r="D223" t="s">
        <v>43</v>
      </c>
      <c r="E223" t="s">
        <v>75</v>
      </c>
      <c r="F223" t="s">
        <v>30</v>
      </c>
      <c r="G223" t="s">
        <v>152</v>
      </c>
      <c r="H223" t="s">
        <v>107</v>
      </c>
      <c r="I223">
        <v>3</v>
      </c>
      <c r="J223">
        <v>85287</v>
      </c>
      <c r="K223">
        <v>85543</v>
      </c>
      <c r="L223">
        <f>+Table1[[#This Row],[End KM]]-Table1[[#This Row],[Strat KM]]</f>
        <v>256</v>
      </c>
      <c r="M223">
        <v>256</v>
      </c>
      <c r="P223" s="3">
        <f>IF(O223-N223&gt;TIME(12,0,0),O223-N223-TIME(12,0,0),0)</f>
        <v>0.0</v>
      </c>
    </row>
    <row r="224">
      <c r="A224" s="2">
        <v>46292</v>
      </c>
      <c r="B224" t="s">
        <v>24</v>
      </c>
      <c r="C224" t="s">
        <v>97</v>
      </c>
      <c r="D224" t="s">
        <v>216</v>
      </c>
      <c r="E224" t="s">
        <v>216</v>
      </c>
      <c r="F224" t="s">
        <v>19</v>
      </c>
      <c r="G224" t="s">
        <v>55</v>
      </c>
      <c r="H224" t="s">
        <v>104</v>
      </c>
      <c r="J224">
        <v>127136</v>
      </c>
      <c r="K224">
        <v>127549</v>
      </c>
      <c r="L224">
        <f>+Table1[[#This Row],[End KM]]-Table1[[#This Row],[Strat KM]]</f>
        <v>413</v>
      </c>
      <c r="M224">
        <v>413</v>
      </c>
      <c r="P224" s="3">
        <f>IF(O224-N224&gt;TIME(12,0,0),O224-N224-TIME(12,0,0),0)</f>
        <v>0.0</v>
      </c>
    </row>
    <row r="225">
      <c r="A225" s="2">
        <v>46293</v>
      </c>
      <c r="B225" t="s">
        <v>161</v>
      </c>
      <c r="C225" t="s">
        <v>39</v>
      </c>
      <c r="D225" t="s">
        <v>87</v>
      </c>
      <c r="E225" t="s">
        <v>103</v>
      </c>
      <c r="F225" t="s">
        <v>30</v>
      </c>
      <c r="G225" t="s">
        <v>92</v>
      </c>
      <c r="H225" t="s">
        <v>249</v>
      </c>
      <c r="I225">
        <v>4</v>
      </c>
      <c r="J225">
        <v>182005</v>
      </c>
      <c r="K225">
        <v>182132</v>
      </c>
      <c r="L225">
        <f>+Table1[[#This Row],[End KM]]-Table1[[#This Row],[Strat KM]]</f>
        <v>127</v>
      </c>
      <c r="M225">
        <v>127</v>
      </c>
      <c r="P225" s="3">
        <f>IF(O225-N225&gt;TIME(12,0,0),O225-N225-TIME(12,0,0),0)</f>
        <v>0.0</v>
      </c>
    </row>
    <row r="226">
      <c r="A226" s="2">
        <v>46293</v>
      </c>
      <c r="B226" t="s">
        <v>164</v>
      </c>
      <c r="C226" t="s">
        <v>34</v>
      </c>
      <c r="D226" t="s">
        <v>256</v>
      </c>
      <c r="E226" t="s">
        <v>256</v>
      </c>
      <c r="F226" t="s">
        <v>19</v>
      </c>
      <c r="G226" t="s">
        <v>31</v>
      </c>
      <c r="H226" t="s">
        <v>218</v>
      </c>
      <c r="J226">
        <v>219160</v>
      </c>
      <c r="K226">
        <v>219371</v>
      </c>
      <c r="L226">
        <f>+Table1[[#This Row],[End KM]]-Table1[[#This Row],[Strat KM]]</f>
        <v>211</v>
      </c>
      <c r="M226">
        <v>241</v>
      </c>
      <c r="P226" s="3">
        <f>IF(O226-N226&gt;TIME(12,0,0),O226-N226-TIME(12,0,0),0)</f>
        <v>0.0</v>
      </c>
    </row>
    <row r="227">
      <c r="A227" s="2">
        <v>46293</v>
      </c>
      <c r="B227" t="s">
        <v>265</v>
      </c>
      <c r="C227" t="s">
        <v>54</v>
      </c>
      <c r="D227" t="s">
        <v>195</v>
      </c>
      <c r="E227" t="s">
        <v>195</v>
      </c>
      <c r="F227" t="s">
        <v>19</v>
      </c>
      <c r="G227" t="s">
        <v>41</v>
      </c>
      <c r="H227" t="s">
        <v>76</v>
      </c>
      <c r="J227">
        <v>240905</v>
      </c>
      <c r="K227">
        <v>241017</v>
      </c>
      <c r="L227">
        <f>+Table1[[#This Row],[End KM]]-Table1[[#This Row],[Strat KM]]</f>
        <v>112</v>
      </c>
      <c r="M227">
        <v>112</v>
      </c>
      <c r="P227" s="3">
        <f>IF(O227-N227&gt;TIME(12,0,0),O227-N227-TIME(12,0,0),0)</f>
        <v>0.0</v>
      </c>
    </row>
    <row r="228">
      <c r="A228" s="2">
        <v>46293</v>
      </c>
      <c r="B228" t="s">
        <v>126</v>
      </c>
      <c r="C228" t="s">
        <v>113</v>
      </c>
      <c r="D228" t="s">
        <v>131</v>
      </c>
      <c r="E228" t="s">
        <v>266</v>
      </c>
      <c r="F228" t="s">
        <v>30</v>
      </c>
      <c r="G228" t="s">
        <v>51</v>
      </c>
      <c r="H228" t="s">
        <v>261</v>
      </c>
      <c r="I228">
        <v>5</v>
      </c>
      <c r="J228">
        <v>75282</v>
      </c>
      <c r="K228">
        <v>75756</v>
      </c>
      <c r="L228">
        <f>+Table1[[#This Row],[End KM]]-Table1[[#This Row],[Strat KM]]</f>
        <v>474</v>
      </c>
      <c r="M228">
        <v>474</v>
      </c>
      <c r="P228" s="3">
        <f>IF(O228-N228&gt;TIME(12,0,0),O228-N228-TIME(12,0,0),0)</f>
        <v>0.0</v>
      </c>
    </row>
    <row r="229">
      <c r="A229" s="2">
        <v>46293</v>
      </c>
      <c r="B229" t="s">
        <v>43</v>
      </c>
      <c r="C229" t="s">
        <v>210</v>
      </c>
      <c r="D229" t="s">
        <v>35</v>
      </c>
      <c r="E229" t="s">
        <v>35</v>
      </c>
      <c r="F229" t="s">
        <v>19</v>
      </c>
      <c r="G229" t="s">
        <v>31</v>
      </c>
      <c r="H229" t="s">
        <v>37</v>
      </c>
      <c r="J229">
        <v>112419</v>
      </c>
      <c r="K229">
        <v>112673</v>
      </c>
      <c r="L229">
        <f>+Table1[[#This Row],[End KM]]-Table1[[#This Row],[Strat KM]]</f>
        <v>254</v>
      </c>
      <c r="M229">
        <v>254</v>
      </c>
      <c r="P229" s="3">
        <f>IF(O229-N229&gt;TIME(12,0,0),O229-N229-TIME(12,0,0),0)</f>
        <v>0.0</v>
      </c>
    </row>
    <row r="230">
      <c r="A230" s="2">
        <v>46293</v>
      </c>
      <c r="B230" t="s">
        <v>43</v>
      </c>
      <c r="C230" t="s">
        <v>116</v>
      </c>
      <c r="D230" t="s">
        <v>147</v>
      </c>
      <c r="E230" t="s">
        <v>147</v>
      </c>
      <c r="F230" t="s">
        <v>19</v>
      </c>
      <c r="G230" t="s">
        <v>99</v>
      </c>
      <c r="H230" t="s">
        <v>176</v>
      </c>
      <c r="J230">
        <v>218232</v>
      </c>
      <c r="K230">
        <v>218703</v>
      </c>
      <c r="L230">
        <f>+Table1[[#This Row],[End KM]]-Table1[[#This Row],[Strat KM]]</f>
        <v>471</v>
      </c>
      <c r="M230">
        <v>471</v>
      </c>
      <c r="P230" s="3">
        <f>IF(O230-N230&gt;TIME(12,0,0),O230-N230-TIME(12,0,0),0)</f>
        <v>0.0</v>
      </c>
    </row>
    <row r="231">
      <c r="A231" s="2">
        <v>46293</v>
      </c>
      <c r="B231" t="s">
        <v>245</v>
      </c>
      <c r="C231" t="s">
        <v>138</v>
      </c>
      <c r="D231" t="s">
        <v>131</v>
      </c>
      <c r="E231" t="s">
        <v>103</v>
      </c>
      <c r="F231" t="s">
        <v>30</v>
      </c>
      <c r="G231" t="s">
        <v>60</v>
      </c>
      <c r="H231" t="s">
        <v>267</v>
      </c>
      <c r="I231">
        <v>6</v>
      </c>
      <c r="J231">
        <v>137984</v>
      </c>
      <c r="K231">
        <v>138232</v>
      </c>
      <c r="L231">
        <f>+Table1[[#This Row],[End KM]]-Table1[[#This Row],[Strat KM]]</f>
        <v>248</v>
      </c>
      <c r="M231">
        <v>248</v>
      </c>
      <c r="P231" s="3">
        <f>IF(O231-N231&gt;TIME(12,0,0),O231-N231-TIME(12,0,0),0)</f>
        <v>0.0</v>
      </c>
    </row>
    <row r="232">
      <c r="A232" s="2">
        <v>46293</v>
      </c>
      <c r="B232" t="s">
        <v>112</v>
      </c>
      <c r="C232" t="s">
        <v>165</v>
      </c>
      <c r="D232" t="s">
        <v>254</v>
      </c>
      <c r="E232" t="s">
        <v>90</v>
      </c>
      <c r="F232" t="s">
        <v>30</v>
      </c>
      <c r="G232" t="s">
        <v>92</v>
      </c>
      <c r="H232" t="s">
        <v>202</v>
      </c>
      <c r="I232">
        <v>7</v>
      </c>
      <c r="J232">
        <v>142900</v>
      </c>
      <c r="K232">
        <v>143016</v>
      </c>
      <c r="L232">
        <f>+Table1[[#This Row],[End KM]]-Table1[[#This Row],[Strat KM]]</f>
        <v>116</v>
      </c>
      <c r="M232">
        <v>116</v>
      </c>
      <c r="P232" s="3">
        <f>IF(O232-N232&gt;TIME(12,0,0),O232-N232-TIME(12,0,0),0)</f>
        <v>0.0</v>
      </c>
    </row>
    <row r="233">
      <c r="A233" s="2">
        <v>46293</v>
      </c>
      <c r="B233" t="s">
        <v>38</v>
      </c>
      <c r="C233" t="s">
        <v>140</v>
      </c>
      <c r="D233" t="s">
        <v>98</v>
      </c>
      <c r="E233" t="s">
        <v>98</v>
      </c>
      <c r="F233" t="s">
        <v>19</v>
      </c>
      <c r="G233" t="s">
        <v>80</v>
      </c>
      <c r="H233" t="s">
        <v>176</v>
      </c>
      <c r="L233">
        <f>+Table1[[#This Row],[End KM]]-Table1[[#This Row],[Strat KM]]</f>
        <v>0</v>
      </c>
      <c r="P233" s="3">
        <f>IF(O233-N233&gt;TIME(12,0,0),O233-N233-TIME(12,0,0),0)</f>
        <v>0.0</v>
      </c>
    </row>
  </sheetData>
  <pageMargins left="0.5" right="0.5" top="0.6" bottom="0.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 showGridLines="0">
      <pane xSplit="1" topLeftCell="B1" activePane="topRight" state="frozen"/>
    </sheetView>
  </sheetViews>
  <sheetFormatPr defaultRowHeight="15"/>
  <cols>
    <col min="1" max="1" width="11.9" customWidth="1"/>
    <col min="2" max="2" width="28.1" customWidth="1"/>
    <col min="3" max="3" width="13.4" customWidth="1"/>
    <col min="4" max="4" width="24.6" customWidth="1"/>
    <col min="5" max="5" width="26.9" customWidth="1"/>
    <col min="6" max="6" width="17.3" customWidth="1"/>
    <col min="7" max="7" width="15.6" customWidth="1"/>
    <col min="8" max="8" width="66.3" customWidth="1"/>
    <col min="9" max="9" width="13.1" customWidth="1"/>
    <col min="10" max="10" width="12.3" customWidth="1"/>
    <col min="11" max="11" width="9" customWidth="1"/>
    <col min="12" max="12" width="16" customWidth="1"/>
    <col min="13" max="13" width="9.7" customWidth="1"/>
    <col min="14" max="14" width="8.9" customWidth="1"/>
    <col min="15" max="15" width="13.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2">
        <v>46266</v>
      </c>
      <c r="B2" t="s">
        <v>62</v>
      </c>
      <c r="C2" t="s">
        <v>268</v>
      </c>
      <c r="D2" t="s">
        <v>269</v>
      </c>
      <c r="E2" t="s">
        <v>270</v>
      </c>
      <c r="F2" t="s">
        <v>271</v>
      </c>
      <c r="G2" t="s">
        <v>152</v>
      </c>
      <c r="H2" t="s">
        <v>272</v>
      </c>
      <c r="I2">
        <v>65000</v>
      </c>
      <c r="J2">
        <v>65315</v>
      </c>
      <c r="K2">
        <f>+J2-I2</f>
        <v>315</v>
      </c>
      <c r="L2">
        <v>320</v>
      </c>
      <c r="M2" s="3">
        <v>0.2708333333333333</v>
      </c>
      <c r="N2" s="3">
        <v>0.8125</v>
      </c>
      <c r="O2" s="3">
        <f>IF(N2-M2&gt;TIME(12,0,0),N2-M2-TIME(12,0,0),0)</f>
        <v>0.04166666666666663</v>
      </c>
    </row>
    <row r="3">
      <c r="A3" s="2">
        <v>46275</v>
      </c>
      <c r="B3" t="s">
        <v>62</v>
      </c>
      <c r="C3" t="s">
        <v>268</v>
      </c>
      <c r="D3" t="s">
        <v>269</v>
      </c>
      <c r="E3" t="s">
        <v>273</v>
      </c>
      <c r="F3" t="s">
        <v>271</v>
      </c>
      <c r="G3" t="s">
        <v>64</v>
      </c>
      <c r="H3" t="s">
        <v>272</v>
      </c>
      <c r="I3">
        <v>65365</v>
      </c>
      <c r="J3">
        <v>65515</v>
      </c>
      <c r="K3">
        <f>+J3-I3</f>
        <v>150</v>
      </c>
      <c r="L3">
        <v>160</v>
      </c>
      <c r="M3" s="3">
        <v>0.2916666666666667</v>
      </c>
      <c r="N3" s="3">
        <v>0.9166666666666666</v>
      </c>
      <c r="O3" s="3">
        <f>IF(N3-M3&gt;TIME(12,0,0),N3-M3-TIME(12,0,0),0)</f>
        <v>0.125</v>
      </c>
    </row>
    <row r="4">
      <c r="A4" s="2">
        <v>46276</v>
      </c>
      <c r="B4" t="s">
        <v>62</v>
      </c>
      <c r="C4" t="s">
        <v>268</v>
      </c>
      <c r="D4" t="s">
        <v>269</v>
      </c>
      <c r="E4" t="s">
        <v>270</v>
      </c>
      <c r="F4" t="s">
        <v>271</v>
      </c>
      <c r="G4" t="s">
        <v>152</v>
      </c>
      <c r="H4" t="s">
        <v>272</v>
      </c>
      <c r="I4">
        <v>65565</v>
      </c>
      <c r="J4">
        <v>65715</v>
      </c>
      <c r="K4">
        <f>+J4-I4</f>
        <v>150</v>
      </c>
      <c r="L4">
        <v>168</v>
      </c>
      <c r="O4" s="3">
        <f>IF(N4-M4&gt;TIME(12,0,0),N4-M4-TIME(12,0,0),0)</f>
        <v>0</v>
      </c>
    </row>
    <row r="5">
      <c r="A5" s="2">
        <v>46277</v>
      </c>
      <c r="B5" t="s">
        <v>62</v>
      </c>
      <c r="C5" t="s">
        <v>268</v>
      </c>
      <c r="D5" t="s">
        <v>269</v>
      </c>
      <c r="E5" t="s">
        <v>270</v>
      </c>
      <c r="F5" t="s">
        <v>271</v>
      </c>
      <c r="G5" t="s">
        <v>64</v>
      </c>
      <c r="H5" t="s">
        <v>272</v>
      </c>
      <c r="I5">
        <v>65765</v>
      </c>
      <c r="J5">
        <v>65915</v>
      </c>
      <c r="K5">
        <f>+J5-I5</f>
        <v>150</v>
      </c>
      <c r="L5">
        <v>146</v>
      </c>
      <c r="M5" s="3">
        <v>0.2708333333333333</v>
      </c>
      <c r="N5" s="3">
        <v>0.8125</v>
      </c>
      <c r="O5" s="3">
        <f>IF(N5-M5&gt;TIME(12,0,0),N5-M5-TIME(12,0,0),0)</f>
        <v>0.04166666666666663</v>
      </c>
    </row>
    <row r="6">
      <c r="A6" s="2">
        <v>46278</v>
      </c>
      <c r="B6" t="s">
        <v>62</v>
      </c>
      <c r="C6" t="s">
        <v>268</v>
      </c>
      <c r="D6" t="s">
        <v>269</v>
      </c>
      <c r="E6" t="s">
        <v>75</v>
      </c>
      <c r="F6" t="s">
        <v>271</v>
      </c>
      <c r="G6" t="s">
        <v>152</v>
      </c>
      <c r="H6" t="s">
        <v>274</v>
      </c>
      <c r="I6">
        <v>65965</v>
      </c>
      <c r="J6">
        <v>66115</v>
      </c>
      <c r="K6">
        <f>+J6-I6</f>
        <v>150</v>
      </c>
      <c r="L6">
        <v>176</v>
      </c>
      <c r="M6" s="3">
        <v>0.2916666666666667</v>
      </c>
      <c r="N6" s="3">
        <v>0.9166666666666666</v>
      </c>
      <c r="O6" s="3">
        <f>IF(N6-M6&gt;TIME(12,0,0),N6-M6-TIME(12,0,0),0)</f>
        <v>0.125</v>
      </c>
    </row>
    <row r="7">
      <c r="A7" s="2">
        <v>46279</v>
      </c>
      <c r="B7" t="s">
        <v>62</v>
      </c>
      <c r="C7" t="s">
        <v>268</v>
      </c>
      <c r="D7" t="s">
        <v>269</v>
      </c>
      <c r="E7" t="s">
        <v>270</v>
      </c>
      <c r="F7" t="s">
        <v>271</v>
      </c>
      <c r="G7" t="s">
        <v>275</v>
      </c>
      <c r="H7" t="s">
        <v>272</v>
      </c>
      <c r="I7">
        <v>66165</v>
      </c>
      <c r="J7">
        <v>66265</v>
      </c>
      <c r="K7">
        <f>+J7-I7</f>
        <v>100</v>
      </c>
      <c r="L7">
        <v>130</v>
      </c>
      <c r="O7" s="3">
        <f>IF(N7-M7&gt;TIME(12,0,0),N7-M7-TIME(12,0,0),0)</f>
        <v>0</v>
      </c>
    </row>
    <row r="8">
      <c r="A8" s="2">
        <v>46280</v>
      </c>
      <c r="B8" t="s">
        <v>62</v>
      </c>
      <c r="C8" t="s">
        <v>268</v>
      </c>
      <c r="D8" t="s">
        <v>269</v>
      </c>
      <c r="E8" t="s">
        <v>270</v>
      </c>
      <c r="F8" t="s">
        <v>271</v>
      </c>
      <c r="G8" t="s">
        <v>275</v>
      </c>
      <c r="H8" t="s">
        <v>272</v>
      </c>
      <c r="I8">
        <v>66315</v>
      </c>
      <c r="J8">
        <v>66415</v>
      </c>
      <c r="K8">
        <f>+J8-I8</f>
        <v>100</v>
      </c>
      <c r="L8">
        <v>104</v>
      </c>
      <c r="M8" s="3">
        <v>0.2708333333333333</v>
      </c>
      <c r="N8" s="3">
        <v>0.8125</v>
      </c>
      <c r="O8" s="3">
        <f>IF(N8-M8&gt;TIME(12,0,0),N8-M8-TIME(12,0,0),0)</f>
        <v>0.04166666666666663</v>
      </c>
    </row>
    <row r="9">
      <c r="A9" s="2">
        <v>46281</v>
      </c>
      <c r="B9" t="s">
        <v>62</v>
      </c>
      <c r="C9" t="s">
        <v>268</v>
      </c>
      <c r="D9" t="s">
        <v>269</v>
      </c>
      <c r="E9" t="s">
        <v>75</v>
      </c>
      <c r="F9" t="s">
        <v>271</v>
      </c>
      <c r="G9" t="s">
        <v>64</v>
      </c>
      <c r="H9" t="s">
        <v>272</v>
      </c>
      <c r="I9">
        <v>66465</v>
      </c>
      <c r="J9">
        <v>66765</v>
      </c>
      <c r="K9">
        <f>+J9-I9</f>
        <v>300</v>
      </c>
      <c r="L9">
        <v>330</v>
      </c>
      <c r="M9" s="3">
        <v>0.2916666666666667</v>
      </c>
      <c r="N9" s="3">
        <v>0.9166666666666666</v>
      </c>
      <c r="O9" s="3">
        <f>IF(N9-M9&gt;TIME(12,0,0),N9-M9-TIME(12,0,0),0)</f>
        <v>0.125</v>
      </c>
    </row>
    <row r="10">
      <c r="A10" s="2">
        <v>46282</v>
      </c>
      <c r="B10" t="s">
        <v>62</v>
      </c>
      <c r="C10" t="s">
        <v>268</v>
      </c>
      <c r="D10" t="s">
        <v>269</v>
      </c>
      <c r="E10" t="s">
        <v>270</v>
      </c>
      <c r="F10" t="s">
        <v>271</v>
      </c>
      <c r="G10" t="s">
        <v>275</v>
      </c>
      <c r="H10" t="s">
        <v>274</v>
      </c>
      <c r="I10">
        <v>66815</v>
      </c>
      <c r="J10">
        <v>67090</v>
      </c>
      <c r="K10">
        <f>+J10-I10</f>
        <v>275</v>
      </c>
      <c r="L10">
        <v>269</v>
      </c>
      <c r="O10" s="3">
        <f>IF(N10-M10&gt;TIME(12,0,0),N10-M10-TIME(12,0,0),0)</f>
        <v>0</v>
      </c>
    </row>
    <row r="11">
      <c r="A11" s="2">
        <v>46283</v>
      </c>
      <c r="B11" t="s">
        <v>62</v>
      </c>
      <c r="C11" t="s">
        <v>268</v>
      </c>
      <c r="D11" t="s">
        <v>269</v>
      </c>
      <c r="E11" t="s">
        <v>75</v>
      </c>
      <c r="F11" t="s">
        <v>271</v>
      </c>
      <c r="G11" t="s">
        <v>64</v>
      </c>
      <c r="H11" t="s">
        <v>274</v>
      </c>
      <c r="I11">
        <v>67140</v>
      </c>
      <c r="J11">
        <v>67290</v>
      </c>
      <c r="K11">
        <f>+J11-I11</f>
        <v>150</v>
      </c>
      <c r="L11">
        <v>151</v>
      </c>
      <c r="M11" s="3">
        <v>0.2708333333333333</v>
      </c>
      <c r="N11" s="3">
        <v>0.8125</v>
      </c>
      <c r="O11" s="3">
        <f>IF(N11-M11&gt;TIME(12,0,0),N11-M11-TIME(12,0,0),0)</f>
        <v>0.04166666666666663</v>
      </c>
    </row>
    <row r="12">
      <c r="A12" s="2">
        <v>46289</v>
      </c>
      <c r="B12" t="s">
        <v>62</v>
      </c>
      <c r="C12" t="s">
        <v>268</v>
      </c>
      <c r="D12" t="s">
        <v>276</v>
      </c>
      <c r="E12" t="s">
        <v>273</v>
      </c>
      <c r="F12" t="s">
        <v>271</v>
      </c>
      <c r="G12" t="s">
        <v>64</v>
      </c>
      <c r="H12" t="s">
        <v>274</v>
      </c>
      <c r="I12">
        <v>67340</v>
      </c>
      <c r="J12">
        <v>67440</v>
      </c>
      <c r="K12">
        <f>+J12-I12</f>
        <v>100</v>
      </c>
      <c r="L12">
        <v>107</v>
      </c>
      <c r="M12" s="3">
        <v>0.2916666666666667</v>
      </c>
      <c r="N12" s="3">
        <v>0.9166666666666666</v>
      </c>
      <c r="O12" s="3">
        <f>IF(N12-M12&gt;TIME(12,0,0),N12-M12-TIME(12,0,0),0)</f>
        <v>0.125</v>
      </c>
    </row>
    <row r="13">
      <c r="I13" s="11" t="s">
        <v>277</v>
      </c>
      <c r="K13" s="9">
        <f>+SUM(K2:K12)</f>
        <v>0</v>
      </c>
    </row>
  </sheetData>
  <autoFilter ref="A1:O13"/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 showGridLines="0">
      <pane xSplit="2" topLeftCell="C1" activePane="topRight" state="frozen"/>
    </sheetView>
  </sheetViews>
  <sheetFormatPr defaultRowHeight="15"/>
  <cols>
    <col min="1" max="1" width="5" customWidth="1"/>
    <col min="2" max="2" width="11.9" customWidth="1"/>
    <col min="3" max="3" width="28.1" customWidth="1"/>
    <col min="4" max="4" width="13.4" customWidth="1"/>
    <col min="5" max="5" width="24.6" customWidth="1"/>
    <col min="6" max="6" width="26.9" customWidth="1"/>
    <col min="7" max="7" width="17.3" customWidth="1"/>
    <col min="8" max="8" width="15.6" customWidth="1"/>
    <col min="9" max="9" width="66.3" customWidth="1"/>
    <col min="10" max="10" width="13.1" customWidth="1"/>
    <col min="11" max="11" width="12.3" customWidth="1"/>
    <col min="12" max="12" width="9" customWidth="1"/>
    <col min="13" max="13" width="16" customWidth="1"/>
    <col min="14" max="14" width="9.7" customWidth="1"/>
    <col min="15" max="15" width="8.9" customWidth="1"/>
    <col min="16" max="16" width="13.6" customWidth="1"/>
  </cols>
  <sheetData>
    <row r="1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f>+ROW()-1</f>
        <v>1</v>
      </c>
      <c r="B2" s="2">
        <v>46274</v>
      </c>
      <c r="C2" t="s">
        <v>85</v>
      </c>
      <c r="D2" t="s">
        <v>279</v>
      </c>
      <c r="E2" t="s">
        <v>269</v>
      </c>
      <c r="F2" t="s">
        <v>273</v>
      </c>
      <c r="G2" t="s">
        <v>280</v>
      </c>
      <c r="H2" t="s">
        <v>152</v>
      </c>
      <c r="I2" t="s">
        <v>281</v>
      </c>
      <c r="J2">
        <v>115000</v>
      </c>
      <c r="K2">
        <v>115095</v>
      </c>
      <c r="L2">
        <f>+Table2[[#This Row],[End KM]]-Table2[[#This Row],[Strat KM]]</f>
        <v>95</v>
      </c>
      <c r="M2">
        <v>135</v>
      </c>
      <c r="P2" s="3">
        <f>IF(O2-N2&gt;TIME(12,0,0),O2-N2-TIME(12,0,0),0)</f>
        <v>0.0</v>
      </c>
    </row>
    <row r="3">
      <c r="A3">
        <f>+ROW()-1</f>
        <v>2</v>
      </c>
      <c r="B3" s="2">
        <v>46275</v>
      </c>
      <c r="C3" t="s">
        <v>211</v>
      </c>
      <c r="D3" t="s">
        <v>279</v>
      </c>
      <c r="E3" t="s">
        <v>269</v>
      </c>
      <c r="F3" t="s">
        <v>273</v>
      </c>
      <c r="G3" t="s">
        <v>280</v>
      </c>
      <c r="H3" t="s">
        <v>152</v>
      </c>
      <c r="I3" t="s">
        <v>281</v>
      </c>
      <c r="J3">
        <v>115120</v>
      </c>
      <c r="K3">
        <v>115320</v>
      </c>
      <c r="L3">
        <f>+Table2[[#This Row],[End KM]]-Table2[[#This Row],[Strat KM]]</f>
        <v>200</v>
      </c>
      <c r="M3">
        <v>240</v>
      </c>
      <c r="P3" s="3">
        <f>IF(O3-N3&gt;TIME(12,0,0),O3-N3-TIME(12,0,0),0)</f>
        <v>0.0</v>
      </c>
    </row>
    <row r="4">
      <c r="A4">
        <f>+ROW()-1</f>
        <v>3</v>
      </c>
      <c r="B4" s="2">
        <v>46275</v>
      </c>
      <c r="C4" t="s">
        <v>85</v>
      </c>
      <c r="D4" t="s">
        <v>279</v>
      </c>
      <c r="E4" t="s">
        <v>269</v>
      </c>
      <c r="F4" t="s">
        <v>273</v>
      </c>
      <c r="G4" t="s">
        <v>280</v>
      </c>
      <c r="H4" t="s">
        <v>152</v>
      </c>
      <c r="I4" t="s">
        <v>281</v>
      </c>
      <c r="J4">
        <v>115345</v>
      </c>
      <c r="K4">
        <v>115420</v>
      </c>
      <c r="L4">
        <f>+Table2[[#This Row],[End KM]]-Table2[[#This Row],[Strat KM]]</f>
        <v>75</v>
      </c>
      <c r="M4">
        <v>115</v>
      </c>
      <c r="P4" s="3">
        <f>IF(O4-N4&gt;TIME(12,0,0),O4-N4-TIME(12,0,0),0)</f>
        <v>0.0</v>
      </c>
    </row>
    <row r="5">
      <c r="A5">
        <f>+ROW()-1</f>
        <v>4</v>
      </c>
      <c r="B5" s="2">
        <v>46280</v>
      </c>
      <c r="C5" t="s">
        <v>108</v>
      </c>
      <c r="D5" t="s">
        <v>279</v>
      </c>
      <c r="E5" t="s">
        <v>269</v>
      </c>
      <c r="F5" t="s">
        <v>273</v>
      </c>
      <c r="G5" t="s">
        <v>280</v>
      </c>
      <c r="H5" t="s">
        <v>152</v>
      </c>
      <c r="I5" t="s">
        <v>281</v>
      </c>
      <c r="J5">
        <v>115445</v>
      </c>
      <c r="K5">
        <v>115520</v>
      </c>
      <c r="L5">
        <f>+Table2[[#This Row],[End KM]]-Table2[[#This Row],[Strat KM]]</f>
        <v>75</v>
      </c>
      <c r="M5">
        <v>115</v>
      </c>
      <c r="P5" s="3">
        <f>IF(O5-N5&gt;TIME(12,0,0),O5-N5-TIME(12,0,0),0)</f>
        <v>0.0</v>
      </c>
    </row>
    <row r="6">
      <c r="J6" s="11" t="s">
        <v>277</v>
      </c>
      <c r="L6" s="9">
        <f>SUBTOTAL(109,Table2[[ KM]])</f>
        <v>0</v>
      </c>
    </row>
  </sheetData>
  <pageMargins left="0.5" right="0.5" top="0.6" bottom="0.6" header="0.3" footer="0.3"/>
  <tableParts count="1">
    <tablePart r:id="rId1"/>
  </tableParts>
</worksheet>
</file>